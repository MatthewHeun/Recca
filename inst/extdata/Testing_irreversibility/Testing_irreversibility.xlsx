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mkh2/github/Recca/inst/extdata/Testing_irreversibility/"/>
    </mc:Choice>
  </mc:AlternateContent>
  <xr:revisionPtr revIDLastSave="0" documentId="13_ncr:1_{2C8C8B36-F851-5846-A838-AAEE9DD5BCA3}" xr6:coauthVersionLast="47" xr6:coauthVersionMax="47" xr10:uidLastSave="{00000000-0000-0000-0000-000000000000}"/>
  <bookViews>
    <workbookView xWindow="0" yWindow="500" windowWidth="50020" windowHeight="28300" activeTab="2" xr2:uid="{00000000-000D-0000-FFFF-FFFF00000000}"/>
  </bookViews>
  <sheets>
    <sheet name="E_Final_2000" sheetId="5" r:id="rId1"/>
    <sheet name="X_Final_2000" sheetId="7" r:id="rId2"/>
    <sheet name="Checks" sheetId="9" r:id="rId3"/>
  </sheets>
  <definedNames>
    <definedName name="R_" localSheetId="2">Checks!$A$69:$O$71</definedName>
    <definedName name="R_" localSheetId="0">E_Final_2000!$A$62:$M$64</definedName>
    <definedName name="R_" localSheetId="1">X_Final_2000!$A$68:$O$70</definedName>
    <definedName name="r_EIOU" localSheetId="2">Checks!$AD$2:$AO$16</definedName>
    <definedName name="r_EIOU" localSheetId="0">E_Final_2000!$AB$1:$AK$13</definedName>
    <definedName name="r_EIOU" localSheetId="1">X_Final_2000!$AD$1:$AM$15</definedName>
    <definedName name="S_units" localSheetId="2">Checks!$A$2:$B$16</definedName>
    <definedName name="S_units" localSheetId="0">E_Final_2000!$A$1:$B$13</definedName>
    <definedName name="S_units" localSheetId="1">X_Final_2000!$A$1:$B$15</definedName>
    <definedName name="U" localSheetId="2">Checks!$R$38:$AA$52</definedName>
    <definedName name="U" localSheetId="0">E_Final_2000!$P$33:$Y$45</definedName>
    <definedName name="U" localSheetId="1">X_Final_2000!$R$37:$AA$51</definedName>
    <definedName name="U_EIOU" localSheetId="2">Checks!$R$2:$AA$16</definedName>
    <definedName name="U_EIOU" localSheetId="0">E_Final_2000!$P$1:$Y$13</definedName>
    <definedName name="U_EIOU" localSheetId="1">X_Final_2000!$R$1:$AA$15</definedName>
    <definedName name="U_feed" localSheetId="2">Checks!$R$20:$AA$34</definedName>
    <definedName name="U_feed" localSheetId="0">E_Final_2000!$P$17:$Y$29</definedName>
    <definedName name="U_feed" localSheetId="1">X_Final_2000!$R$19:$AA$33</definedName>
    <definedName name="V" localSheetId="2">Checks!$A$56:$O$65</definedName>
    <definedName name="V" localSheetId="0">E_Final_2000!$A$49:$M$58</definedName>
    <definedName name="V" localSheetId="1">X_Final_2000!$A$55:$O$64</definedName>
    <definedName name="Y" localSheetId="2">Checks!$AD$38:$AF$52</definedName>
    <definedName name="Y" localSheetId="0">E_Final_2000!$AB$33:$AD$45</definedName>
    <definedName name="Y" localSheetId="1">X_Final_2000!$AD$37:$AH$51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Y3" i="9" l="1"/>
  <c r="IG16" i="9"/>
  <c r="IE16" i="9"/>
  <c r="ID16" i="9"/>
  <c r="IC16" i="9"/>
  <c r="IB16" i="9"/>
  <c r="IA16" i="9"/>
  <c r="HZ16" i="9"/>
  <c r="HY16" i="9"/>
  <c r="IG15" i="9"/>
  <c r="IE15" i="9"/>
  <c r="ID15" i="9"/>
  <c r="IC15" i="9"/>
  <c r="IB15" i="9"/>
  <c r="IA15" i="9"/>
  <c r="HZ15" i="9"/>
  <c r="HY15" i="9"/>
  <c r="IG14" i="9"/>
  <c r="IF14" i="9"/>
  <c r="IE14" i="9"/>
  <c r="ID14" i="9"/>
  <c r="IA14" i="9"/>
  <c r="HZ14" i="9"/>
  <c r="HY14" i="9"/>
  <c r="IF13" i="9"/>
  <c r="IE13" i="9"/>
  <c r="ID13" i="9"/>
  <c r="IC13" i="9"/>
  <c r="IB13" i="9"/>
  <c r="IA13" i="9"/>
  <c r="HZ13" i="9"/>
  <c r="HY13" i="9"/>
  <c r="IG12" i="9"/>
  <c r="IF12" i="9"/>
  <c r="IE12" i="9"/>
  <c r="ID12" i="9"/>
  <c r="IC12" i="9"/>
  <c r="IA12" i="9"/>
  <c r="HZ12" i="9"/>
  <c r="HY12" i="9"/>
  <c r="IG11" i="9"/>
  <c r="IF11" i="9"/>
  <c r="IE11" i="9"/>
  <c r="ID11" i="9"/>
  <c r="IC11" i="9"/>
  <c r="IB11" i="9"/>
  <c r="IA11" i="9"/>
  <c r="HZ11" i="9"/>
  <c r="HY11" i="9"/>
  <c r="IF10" i="9"/>
  <c r="IA10" i="9"/>
  <c r="HZ10" i="9"/>
  <c r="IG9" i="9"/>
  <c r="IF9" i="9"/>
  <c r="IE9" i="9"/>
  <c r="ID9" i="9"/>
  <c r="IC9" i="9"/>
  <c r="IB9" i="9"/>
  <c r="HZ9" i="9"/>
  <c r="HY9" i="9"/>
  <c r="IG8" i="9"/>
  <c r="IE8" i="9"/>
  <c r="IA8" i="9"/>
  <c r="IG7" i="9"/>
  <c r="IF7" i="9"/>
  <c r="ID7" i="9"/>
  <c r="IC7" i="9"/>
  <c r="IB7" i="9"/>
  <c r="IA7" i="9"/>
  <c r="HY7" i="9"/>
  <c r="IG6" i="9"/>
  <c r="IF6" i="9"/>
  <c r="IE6" i="9"/>
  <c r="ID6" i="9"/>
  <c r="IC6" i="9"/>
  <c r="IB6" i="9"/>
  <c r="IA6" i="9"/>
  <c r="HZ6" i="9"/>
  <c r="HY6" i="9"/>
  <c r="IG5" i="9"/>
  <c r="IF5" i="9"/>
  <c r="IE5" i="9"/>
  <c r="IC5" i="9"/>
  <c r="IB5" i="9"/>
  <c r="IA5" i="9"/>
  <c r="HZ5" i="9"/>
  <c r="IG4" i="9"/>
  <c r="IF4" i="9"/>
  <c r="ID4" i="9"/>
  <c r="IC4" i="9"/>
  <c r="IB4" i="9"/>
  <c r="IA4" i="9"/>
  <c r="HZ4" i="9"/>
  <c r="IG3" i="9"/>
  <c r="IF3" i="9"/>
  <c r="IE3" i="9"/>
  <c r="IC3" i="9"/>
  <c r="IB3" i="9"/>
  <c r="IA3" i="9"/>
  <c r="HZ3" i="9"/>
  <c r="HU16" i="9"/>
  <c r="HS16" i="9"/>
  <c r="HR16" i="9"/>
  <c r="HQ16" i="9"/>
  <c r="HP16" i="9"/>
  <c r="HO16" i="9"/>
  <c r="HN16" i="9"/>
  <c r="HM16" i="9"/>
  <c r="HU15" i="9"/>
  <c r="HT15" i="9"/>
  <c r="HS15" i="9"/>
  <c r="HR15" i="9"/>
  <c r="HQ15" i="9"/>
  <c r="HP15" i="9"/>
  <c r="HO15" i="9"/>
  <c r="HN15" i="9"/>
  <c r="HM15" i="9"/>
  <c r="HU14" i="9"/>
  <c r="HT14" i="9"/>
  <c r="HS14" i="9"/>
  <c r="HR14" i="9"/>
  <c r="HQ14" i="9"/>
  <c r="HO14" i="9"/>
  <c r="HN14" i="9"/>
  <c r="HM14" i="9"/>
  <c r="HU13" i="9"/>
  <c r="HT13" i="9"/>
  <c r="HS13" i="9"/>
  <c r="HR13" i="9"/>
  <c r="HQ13" i="9"/>
  <c r="HP13" i="9"/>
  <c r="HO13" i="9"/>
  <c r="HN13" i="9"/>
  <c r="HM13" i="9"/>
  <c r="HU12" i="9"/>
  <c r="HT12" i="9"/>
  <c r="HS12" i="9"/>
  <c r="HR12" i="9"/>
  <c r="HQ12" i="9"/>
  <c r="HP12" i="9"/>
  <c r="HO12" i="9"/>
  <c r="HN12" i="9"/>
  <c r="HM12" i="9"/>
  <c r="HU11" i="9"/>
  <c r="HT11" i="9"/>
  <c r="HS11" i="9"/>
  <c r="HR11" i="9"/>
  <c r="HQ11" i="9"/>
  <c r="HP11" i="9"/>
  <c r="HO11" i="9"/>
  <c r="HN11" i="9"/>
  <c r="HM11" i="9"/>
  <c r="HU9" i="9"/>
  <c r="HT9" i="9"/>
  <c r="HS9" i="9"/>
  <c r="HR9" i="9"/>
  <c r="HQ9" i="9"/>
  <c r="HP9" i="9"/>
  <c r="HO9" i="9"/>
  <c r="HN9" i="9"/>
  <c r="HM9" i="9"/>
  <c r="HU7" i="9"/>
  <c r="HT7" i="9"/>
  <c r="HR7" i="9"/>
  <c r="HQ7" i="9"/>
  <c r="HP7" i="9"/>
  <c r="HO7" i="9"/>
  <c r="HN7" i="9"/>
  <c r="HM7" i="9"/>
  <c r="HU6" i="9"/>
  <c r="HT6" i="9"/>
  <c r="HS6" i="9"/>
  <c r="HR6" i="9"/>
  <c r="HQ6" i="9"/>
  <c r="HP6" i="9"/>
  <c r="HO6" i="9"/>
  <c r="HN6" i="9"/>
  <c r="HM6" i="9"/>
  <c r="HU5" i="9"/>
  <c r="HT5" i="9"/>
  <c r="HS5" i="9"/>
  <c r="HQ5" i="9"/>
  <c r="HP5" i="9"/>
  <c r="HO5" i="9"/>
  <c r="HN5" i="9"/>
  <c r="HM5" i="9"/>
  <c r="HU4" i="9"/>
  <c r="HT4" i="9"/>
  <c r="HS4" i="9"/>
  <c r="HR4" i="9"/>
  <c r="HQ4" i="9"/>
  <c r="HP4" i="9"/>
  <c r="HO4" i="9"/>
  <c r="HN4" i="9"/>
  <c r="HU3" i="9"/>
  <c r="HT3" i="9"/>
  <c r="HS3" i="9"/>
  <c r="HR3" i="9"/>
  <c r="HQ3" i="9"/>
  <c r="HP3" i="9"/>
  <c r="HO3" i="9"/>
  <c r="HN3" i="9"/>
  <c r="HM3" i="9"/>
  <c r="FW3" i="9"/>
  <c r="FX3" i="9"/>
  <c r="FY3" i="9"/>
  <c r="FZ3" i="9"/>
  <c r="GA3" i="9"/>
  <c r="GB3" i="9"/>
  <c r="GC3" i="9"/>
  <c r="GD3" i="9"/>
  <c r="GE3" i="9"/>
  <c r="GF3" i="9"/>
  <c r="GI3" i="9"/>
  <c r="GJ3" i="9"/>
  <c r="GK3" i="9"/>
  <c r="GL3" i="9"/>
  <c r="GM3" i="9"/>
  <c r="GN3" i="9"/>
  <c r="GP3" i="9"/>
  <c r="GQ3" i="9"/>
  <c r="GR3" i="9"/>
  <c r="FW4" i="9"/>
  <c r="FY4" i="9"/>
  <c r="FZ4" i="9"/>
  <c r="GA4" i="9"/>
  <c r="GB4" i="9"/>
  <c r="GC4" i="9"/>
  <c r="GD4" i="9"/>
  <c r="GE4" i="9"/>
  <c r="GF4" i="9"/>
  <c r="GI4" i="9"/>
  <c r="GK4" i="9"/>
  <c r="GL4" i="9"/>
  <c r="GM4" i="9"/>
  <c r="GN4" i="9"/>
  <c r="GO4" i="9"/>
  <c r="GQ4" i="9"/>
  <c r="GR4" i="9"/>
  <c r="FW5" i="9"/>
  <c r="FX5" i="9"/>
  <c r="FY5" i="9"/>
  <c r="FZ5" i="9"/>
  <c r="GA5" i="9"/>
  <c r="GB5" i="9"/>
  <c r="GD5" i="9"/>
  <c r="GE5" i="9"/>
  <c r="GF5" i="9"/>
  <c r="GI5" i="9"/>
  <c r="GK5" i="9"/>
  <c r="GL5" i="9"/>
  <c r="GM5" i="9"/>
  <c r="GN5" i="9"/>
  <c r="GP5" i="9"/>
  <c r="GQ5" i="9"/>
  <c r="GR5" i="9"/>
  <c r="FW6" i="9"/>
  <c r="FX6" i="9"/>
  <c r="FY6" i="9"/>
  <c r="FZ6" i="9"/>
  <c r="GA6" i="9"/>
  <c r="GB6" i="9"/>
  <c r="GC6" i="9"/>
  <c r="GD6" i="9"/>
  <c r="GE6" i="9"/>
  <c r="GF6" i="9"/>
  <c r="GI6" i="9"/>
  <c r="GJ6" i="9"/>
  <c r="GK6" i="9"/>
  <c r="GL6" i="9"/>
  <c r="GM6" i="9"/>
  <c r="GN6" i="9"/>
  <c r="GO6" i="9"/>
  <c r="GP6" i="9"/>
  <c r="GQ6" i="9"/>
  <c r="GR6" i="9"/>
  <c r="FW7" i="9"/>
  <c r="FX7" i="9"/>
  <c r="FY7" i="9"/>
  <c r="FZ7" i="9"/>
  <c r="GA7" i="9"/>
  <c r="GB7" i="9"/>
  <c r="GC7" i="9"/>
  <c r="GE7" i="9"/>
  <c r="GF7" i="9"/>
  <c r="GI7" i="9"/>
  <c r="GJ7" i="9"/>
  <c r="GL7" i="9"/>
  <c r="GM7" i="9"/>
  <c r="GN7" i="9"/>
  <c r="GO7" i="9"/>
  <c r="GQ7" i="9"/>
  <c r="GR7" i="9"/>
  <c r="FW8" i="9"/>
  <c r="GI8" i="9"/>
  <c r="GL8" i="9"/>
  <c r="GP8" i="9"/>
  <c r="GR8" i="9"/>
  <c r="FW9" i="9"/>
  <c r="FX9" i="9"/>
  <c r="FY9" i="9"/>
  <c r="FZ9" i="9"/>
  <c r="GA9" i="9"/>
  <c r="GB9" i="9"/>
  <c r="GC9" i="9"/>
  <c r="GD9" i="9"/>
  <c r="GE9" i="9"/>
  <c r="GF9" i="9"/>
  <c r="GI9" i="9"/>
  <c r="GJ9" i="9"/>
  <c r="GK9" i="9"/>
  <c r="GM9" i="9"/>
  <c r="GN9" i="9"/>
  <c r="GO9" i="9"/>
  <c r="GP9" i="9"/>
  <c r="GQ9" i="9"/>
  <c r="GR9" i="9"/>
  <c r="FW10" i="9"/>
  <c r="GI10" i="9"/>
  <c r="GK10" i="9"/>
  <c r="GL10" i="9"/>
  <c r="GQ10" i="9"/>
  <c r="FW11" i="9"/>
  <c r="FX11" i="9"/>
  <c r="FY11" i="9"/>
  <c r="FZ11" i="9"/>
  <c r="GA11" i="9"/>
  <c r="GB11" i="9"/>
  <c r="GC11" i="9"/>
  <c r="GD11" i="9"/>
  <c r="GE11" i="9"/>
  <c r="GF11" i="9"/>
  <c r="GI11" i="9"/>
  <c r="GJ11" i="9"/>
  <c r="GK11" i="9"/>
  <c r="GL11" i="9"/>
  <c r="GM11" i="9"/>
  <c r="GN11" i="9"/>
  <c r="GO11" i="9"/>
  <c r="GP11" i="9"/>
  <c r="GQ11" i="9"/>
  <c r="GR11" i="9"/>
  <c r="FW12" i="9"/>
  <c r="FX12" i="9"/>
  <c r="FY12" i="9"/>
  <c r="FZ12" i="9"/>
  <c r="GA12" i="9"/>
  <c r="GB12" i="9"/>
  <c r="GC12" i="9"/>
  <c r="GD12" i="9"/>
  <c r="GE12" i="9"/>
  <c r="GF12" i="9"/>
  <c r="GI12" i="9"/>
  <c r="GJ12" i="9"/>
  <c r="GK12" i="9"/>
  <c r="GL12" i="9"/>
  <c r="GN12" i="9"/>
  <c r="GO12" i="9"/>
  <c r="GP12" i="9"/>
  <c r="GQ12" i="9"/>
  <c r="GR12" i="9"/>
  <c r="FW13" i="9"/>
  <c r="FX13" i="9"/>
  <c r="FY13" i="9"/>
  <c r="FZ13" i="9"/>
  <c r="GA13" i="9"/>
  <c r="GB13" i="9"/>
  <c r="GC13" i="9"/>
  <c r="GD13" i="9"/>
  <c r="GE13" i="9"/>
  <c r="GF13" i="9"/>
  <c r="GI13" i="9"/>
  <c r="GJ13" i="9"/>
  <c r="GK13" i="9"/>
  <c r="GL13" i="9"/>
  <c r="GM13" i="9"/>
  <c r="GN13" i="9"/>
  <c r="GO13" i="9"/>
  <c r="GP13" i="9"/>
  <c r="GQ13" i="9"/>
  <c r="FW14" i="9"/>
  <c r="FX14" i="9"/>
  <c r="FY14" i="9"/>
  <c r="FZ14" i="9"/>
  <c r="GB14" i="9"/>
  <c r="GC14" i="9"/>
  <c r="GD14" i="9"/>
  <c r="GE14" i="9"/>
  <c r="GF14" i="9"/>
  <c r="GI14" i="9"/>
  <c r="GJ14" i="9"/>
  <c r="GK14" i="9"/>
  <c r="GL14" i="9"/>
  <c r="GO14" i="9"/>
  <c r="GP14" i="9"/>
  <c r="GQ14" i="9"/>
  <c r="GR14" i="9"/>
  <c r="FW15" i="9"/>
  <c r="FX15" i="9"/>
  <c r="FY15" i="9"/>
  <c r="FZ15" i="9"/>
  <c r="GA15" i="9"/>
  <c r="GB15" i="9"/>
  <c r="GC15" i="9"/>
  <c r="GD15" i="9"/>
  <c r="GE15" i="9"/>
  <c r="GF15" i="9"/>
  <c r="GI15" i="9"/>
  <c r="GJ15" i="9"/>
  <c r="GK15" i="9"/>
  <c r="GL15" i="9"/>
  <c r="GM15" i="9"/>
  <c r="GN15" i="9"/>
  <c r="GO15" i="9"/>
  <c r="GP15" i="9"/>
  <c r="GR15" i="9"/>
  <c r="FW16" i="9"/>
  <c r="FX16" i="9"/>
  <c r="FY16" i="9"/>
  <c r="FZ16" i="9"/>
  <c r="GA16" i="9"/>
  <c r="GB16" i="9"/>
  <c r="GC16" i="9"/>
  <c r="GD16" i="9"/>
  <c r="GF16" i="9"/>
  <c r="GI16" i="9"/>
  <c r="GJ16" i="9"/>
  <c r="GK16" i="9"/>
  <c r="GL16" i="9"/>
  <c r="GM16" i="9"/>
  <c r="GN16" i="9"/>
  <c r="GO16" i="9"/>
  <c r="GP16" i="9"/>
  <c r="GR16" i="9"/>
  <c r="FX17" i="9"/>
  <c r="GJ17" i="9"/>
  <c r="FW20" i="9"/>
  <c r="FX20" i="9"/>
  <c r="FY20" i="9"/>
  <c r="FZ20" i="9"/>
  <c r="GA20" i="9"/>
  <c r="GB20" i="9"/>
  <c r="GC20" i="9"/>
  <c r="GD20" i="9"/>
  <c r="GE20" i="9"/>
  <c r="GF20" i="9"/>
  <c r="FW21" i="9"/>
  <c r="FW22" i="9"/>
  <c r="FW23" i="9"/>
  <c r="FW24" i="9"/>
  <c r="FW25" i="9"/>
  <c r="FW26" i="9"/>
  <c r="FW27" i="9"/>
  <c r="FW28" i="9"/>
  <c r="FW29" i="9"/>
  <c r="FW30" i="9"/>
  <c r="FW31" i="9"/>
  <c r="FW32" i="9"/>
  <c r="FW33" i="9"/>
  <c r="FW34" i="9"/>
  <c r="FX35" i="9"/>
  <c r="FX2" i="9"/>
  <c r="FY2" i="9"/>
  <c r="FZ2" i="9"/>
  <c r="GA2" i="9"/>
  <c r="GB2" i="9"/>
  <c r="GC2" i="9"/>
  <c r="GD2" i="9"/>
  <c r="GE2" i="9"/>
  <c r="GF2" i="9"/>
  <c r="GJ2" i="9"/>
  <c r="GK2" i="9"/>
  <c r="GL2" i="9"/>
  <c r="GM2" i="9"/>
  <c r="GN2" i="9"/>
  <c r="GO2" i="9"/>
  <c r="GP2" i="9"/>
  <c r="GQ2" i="9"/>
  <c r="GR2" i="9"/>
  <c r="CU6" i="9"/>
  <c r="CT6" i="9"/>
  <c r="CS6" i="9"/>
  <c r="CR6" i="9"/>
  <c r="CQ6" i="9"/>
  <c r="CP6" i="9"/>
  <c r="CO6" i="9"/>
  <c r="CN6" i="9"/>
  <c r="CM6" i="9"/>
  <c r="CA6" i="9"/>
  <c r="CB6" i="9"/>
  <c r="CC6" i="9"/>
  <c r="CD6" i="9"/>
  <c r="CE6" i="9"/>
  <c r="CF6" i="9"/>
  <c r="CG6" i="9"/>
  <c r="CH6" i="9"/>
  <c r="CI6" i="9"/>
  <c r="CI24" i="9"/>
  <c r="CH24" i="9"/>
  <c r="CG24" i="9"/>
  <c r="CF24" i="9"/>
  <c r="CE24" i="9"/>
  <c r="CD24" i="9"/>
  <c r="CC24" i="9"/>
  <c r="CB24" i="9"/>
  <c r="CA24" i="9"/>
  <c r="CL3" i="9"/>
  <c r="CM3" i="9"/>
  <c r="CN3" i="9"/>
  <c r="CO3" i="9"/>
  <c r="CP3" i="9"/>
  <c r="CQ3" i="9"/>
  <c r="CR3" i="9"/>
  <c r="CS3" i="9"/>
  <c r="CT3" i="9"/>
  <c r="CU3" i="9"/>
  <c r="CL4" i="9"/>
  <c r="CM4" i="9"/>
  <c r="CN4" i="9"/>
  <c r="CO4" i="9"/>
  <c r="CP4" i="9"/>
  <c r="CQ4" i="9"/>
  <c r="CR4" i="9"/>
  <c r="CS4" i="9"/>
  <c r="CT4" i="9"/>
  <c r="CU4" i="9"/>
  <c r="CL5" i="9"/>
  <c r="CM5" i="9"/>
  <c r="CN5" i="9"/>
  <c r="CO5" i="9"/>
  <c r="CP5" i="9"/>
  <c r="CQ5" i="9"/>
  <c r="CR5" i="9"/>
  <c r="CS5" i="9"/>
  <c r="CT5" i="9"/>
  <c r="CU5" i="9"/>
  <c r="CL7" i="9"/>
  <c r="CM7" i="9"/>
  <c r="CN7" i="9"/>
  <c r="CO7" i="9"/>
  <c r="CP7" i="9"/>
  <c r="CQ7" i="9"/>
  <c r="CR7" i="9"/>
  <c r="CS7" i="9"/>
  <c r="CT7" i="9"/>
  <c r="CU7" i="9"/>
  <c r="CL8" i="9"/>
  <c r="CM8" i="9"/>
  <c r="CN8" i="9"/>
  <c r="CO8" i="9"/>
  <c r="CP8" i="9"/>
  <c r="CQ8" i="9"/>
  <c r="CR8" i="9"/>
  <c r="CS8" i="9"/>
  <c r="CT8" i="9"/>
  <c r="CU8" i="9"/>
  <c r="CL9" i="9"/>
  <c r="CM9" i="9"/>
  <c r="CN9" i="9"/>
  <c r="CO9" i="9"/>
  <c r="CP9" i="9"/>
  <c r="CQ9" i="9"/>
  <c r="CR9" i="9"/>
  <c r="CS9" i="9"/>
  <c r="CT9" i="9"/>
  <c r="CU9" i="9"/>
  <c r="CL10" i="9"/>
  <c r="CM10" i="9"/>
  <c r="CN10" i="9"/>
  <c r="CO10" i="9"/>
  <c r="CP10" i="9"/>
  <c r="CQ10" i="9"/>
  <c r="CR10" i="9"/>
  <c r="CS10" i="9"/>
  <c r="CT10" i="9"/>
  <c r="CU10" i="9"/>
  <c r="CL11" i="9"/>
  <c r="CM11" i="9"/>
  <c r="CN11" i="9"/>
  <c r="CO11" i="9"/>
  <c r="CP11" i="9"/>
  <c r="CQ11" i="9"/>
  <c r="CR11" i="9"/>
  <c r="CS11" i="9"/>
  <c r="CT11" i="9"/>
  <c r="CU11" i="9"/>
  <c r="CL12" i="9"/>
  <c r="CM12" i="9"/>
  <c r="CN12" i="9"/>
  <c r="CO12" i="9"/>
  <c r="CP12" i="9"/>
  <c r="CQ12" i="9"/>
  <c r="CR12" i="9"/>
  <c r="CS12" i="9"/>
  <c r="CT12" i="9"/>
  <c r="CU12" i="9"/>
  <c r="CL13" i="9"/>
  <c r="CM13" i="9"/>
  <c r="CN13" i="9"/>
  <c r="CO13" i="9"/>
  <c r="CP13" i="9"/>
  <c r="CQ13" i="9"/>
  <c r="CR13" i="9"/>
  <c r="CS13" i="9"/>
  <c r="CT13" i="9"/>
  <c r="CU13" i="9"/>
  <c r="CL14" i="9"/>
  <c r="CM14" i="9"/>
  <c r="CN14" i="9"/>
  <c r="CO14" i="9"/>
  <c r="CP14" i="9"/>
  <c r="CQ14" i="9"/>
  <c r="CR14" i="9"/>
  <c r="CS14" i="9"/>
  <c r="CT14" i="9"/>
  <c r="CU14" i="9"/>
  <c r="CL15" i="9"/>
  <c r="CM15" i="9"/>
  <c r="CN15" i="9"/>
  <c r="CO15" i="9"/>
  <c r="CP15" i="9"/>
  <c r="CQ15" i="9"/>
  <c r="CR15" i="9"/>
  <c r="CS15" i="9"/>
  <c r="CT15" i="9"/>
  <c r="CU15" i="9"/>
  <c r="CL16" i="9"/>
  <c r="CM16" i="9"/>
  <c r="CN16" i="9"/>
  <c r="CO16" i="9"/>
  <c r="CP16" i="9"/>
  <c r="CQ16" i="9"/>
  <c r="CR16" i="9"/>
  <c r="CS16" i="9"/>
  <c r="CT16" i="9"/>
  <c r="CU16" i="9"/>
  <c r="CM2" i="9"/>
  <c r="CN2" i="9"/>
  <c r="CO2" i="9"/>
  <c r="CP2" i="9"/>
  <c r="CQ2" i="9"/>
  <c r="CR2" i="9"/>
  <c r="CS2" i="9"/>
  <c r="CT2" i="9"/>
  <c r="CU2" i="9"/>
  <c r="CA21" i="9"/>
  <c r="CB21" i="9"/>
  <c r="CC21" i="9"/>
  <c r="CD21" i="9"/>
  <c r="CE21" i="9"/>
  <c r="CF21" i="9"/>
  <c r="CG21" i="9"/>
  <c r="CH21" i="9"/>
  <c r="CI21" i="9"/>
  <c r="CA22" i="9"/>
  <c r="CB22" i="9"/>
  <c r="CC22" i="9"/>
  <c r="CD22" i="9"/>
  <c r="CE22" i="9"/>
  <c r="CF22" i="9"/>
  <c r="CG22" i="9"/>
  <c r="CH22" i="9"/>
  <c r="CI22" i="9"/>
  <c r="CA23" i="9"/>
  <c r="CB23" i="9"/>
  <c r="CC23" i="9"/>
  <c r="CD23" i="9"/>
  <c r="CE23" i="9"/>
  <c r="CF23" i="9"/>
  <c r="CG23" i="9"/>
  <c r="CH23" i="9"/>
  <c r="CI23" i="9"/>
  <c r="CA25" i="9"/>
  <c r="CB25" i="9"/>
  <c r="CC25" i="9"/>
  <c r="CD25" i="9"/>
  <c r="CE25" i="9"/>
  <c r="CF25" i="9"/>
  <c r="CG25" i="9"/>
  <c r="CH25" i="9"/>
  <c r="CI25" i="9"/>
  <c r="CA26" i="9"/>
  <c r="CB26" i="9"/>
  <c r="CC26" i="9"/>
  <c r="CD26" i="9"/>
  <c r="CE26" i="9"/>
  <c r="CF26" i="9"/>
  <c r="CG26" i="9"/>
  <c r="CH26" i="9"/>
  <c r="CI26" i="9"/>
  <c r="CA27" i="9"/>
  <c r="CB27" i="9"/>
  <c r="CC27" i="9"/>
  <c r="CD27" i="9"/>
  <c r="CE27" i="9"/>
  <c r="CF27" i="9"/>
  <c r="CG27" i="9"/>
  <c r="CH27" i="9"/>
  <c r="CI27" i="9"/>
  <c r="CA28" i="9"/>
  <c r="CB28" i="9"/>
  <c r="CC28" i="9"/>
  <c r="CD28" i="9"/>
  <c r="CE28" i="9"/>
  <c r="CF28" i="9"/>
  <c r="CG28" i="9"/>
  <c r="CH28" i="9"/>
  <c r="CI28" i="9"/>
  <c r="CA29" i="9"/>
  <c r="CB29" i="9"/>
  <c r="CC29" i="9"/>
  <c r="CD29" i="9"/>
  <c r="CE29" i="9"/>
  <c r="CF29" i="9"/>
  <c r="CG29" i="9"/>
  <c r="CH29" i="9"/>
  <c r="CI29" i="9"/>
  <c r="CA30" i="9"/>
  <c r="CB30" i="9"/>
  <c r="CC30" i="9"/>
  <c r="CD30" i="9"/>
  <c r="CE30" i="9"/>
  <c r="CF30" i="9"/>
  <c r="CG30" i="9"/>
  <c r="CH30" i="9"/>
  <c r="CI30" i="9"/>
  <c r="CA31" i="9"/>
  <c r="CB31" i="9"/>
  <c r="CC31" i="9"/>
  <c r="CD31" i="9"/>
  <c r="CE31" i="9"/>
  <c r="CF31" i="9"/>
  <c r="CG31" i="9"/>
  <c r="CH31" i="9"/>
  <c r="CI31" i="9"/>
  <c r="CA32" i="9"/>
  <c r="CB32" i="9"/>
  <c r="CC32" i="9"/>
  <c r="CD32" i="9"/>
  <c r="CE32" i="9"/>
  <c r="CF32" i="9"/>
  <c r="CG32" i="9"/>
  <c r="CH32" i="9"/>
  <c r="CI32" i="9"/>
  <c r="CA33" i="9"/>
  <c r="CB33" i="9"/>
  <c r="CC33" i="9"/>
  <c r="CD33" i="9"/>
  <c r="CE33" i="9"/>
  <c r="CF33" i="9"/>
  <c r="CG33" i="9"/>
  <c r="CH33" i="9"/>
  <c r="CI33" i="9"/>
  <c r="CA34" i="9"/>
  <c r="CB34" i="9"/>
  <c r="CC34" i="9"/>
  <c r="CD34" i="9"/>
  <c r="CE34" i="9"/>
  <c r="CF34" i="9"/>
  <c r="CG34" i="9"/>
  <c r="CH34" i="9"/>
  <c r="CI34" i="9"/>
  <c r="BZ3" i="9"/>
  <c r="CA3" i="9"/>
  <c r="CB3" i="9"/>
  <c r="CC3" i="9"/>
  <c r="CD3" i="9"/>
  <c r="CE3" i="9"/>
  <c r="CF3" i="9"/>
  <c r="CG3" i="9"/>
  <c r="CH3" i="9"/>
  <c r="CI3" i="9"/>
  <c r="BZ4" i="9"/>
  <c r="CA4" i="9"/>
  <c r="CB4" i="9"/>
  <c r="CC4" i="9"/>
  <c r="CD4" i="9"/>
  <c r="CE4" i="9"/>
  <c r="CF4" i="9"/>
  <c r="CG4" i="9"/>
  <c r="CH4" i="9"/>
  <c r="CI4" i="9"/>
  <c r="BZ5" i="9"/>
  <c r="CA5" i="9"/>
  <c r="CB5" i="9"/>
  <c r="CC5" i="9"/>
  <c r="CD5" i="9"/>
  <c r="CE5" i="9"/>
  <c r="CF5" i="9"/>
  <c r="CG5" i="9"/>
  <c r="CH5" i="9"/>
  <c r="CI5" i="9"/>
  <c r="BZ7" i="9"/>
  <c r="CA7" i="9"/>
  <c r="CB7" i="9"/>
  <c r="CC7" i="9"/>
  <c r="CD7" i="9"/>
  <c r="CE7" i="9"/>
  <c r="CF7" i="9"/>
  <c r="CG7" i="9"/>
  <c r="CH7" i="9"/>
  <c r="CI7" i="9"/>
  <c r="BZ8" i="9"/>
  <c r="CA8" i="9"/>
  <c r="CB8" i="9"/>
  <c r="CC8" i="9"/>
  <c r="CD8" i="9"/>
  <c r="CE8" i="9"/>
  <c r="CF8" i="9"/>
  <c r="CG8" i="9"/>
  <c r="CH8" i="9"/>
  <c r="CI8" i="9"/>
  <c r="BZ9" i="9"/>
  <c r="CA9" i="9"/>
  <c r="CB9" i="9"/>
  <c r="CC9" i="9"/>
  <c r="CD9" i="9"/>
  <c r="CE9" i="9"/>
  <c r="CF9" i="9"/>
  <c r="CG9" i="9"/>
  <c r="CH9" i="9"/>
  <c r="CI9" i="9"/>
  <c r="BZ10" i="9"/>
  <c r="CA10" i="9"/>
  <c r="CB10" i="9"/>
  <c r="CC10" i="9"/>
  <c r="CD10" i="9"/>
  <c r="CE10" i="9"/>
  <c r="CF10" i="9"/>
  <c r="CG10" i="9"/>
  <c r="CH10" i="9"/>
  <c r="CI10" i="9"/>
  <c r="BZ11" i="9"/>
  <c r="CA11" i="9"/>
  <c r="CB11" i="9"/>
  <c r="CC11" i="9"/>
  <c r="CD11" i="9"/>
  <c r="CE11" i="9"/>
  <c r="CF11" i="9"/>
  <c r="CG11" i="9"/>
  <c r="CH11" i="9"/>
  <c r="CI11" i="9"/>
  <c r="BZ12" i="9"/>
  <c r="CA12" i="9"/>
  <c r="CB12" i="9"/>
  <c r="CC12" i="9"/>
  <c r="CD12" i="9"/>
  <c r="CE12" i="9"/>
  <c r="CF12" i="9"/>
  <c r="CG12" i="9"/>
  <c r="CH12" i="9"/>
  <c r="CI12" i="9"/>
  <c r="BZ13" i="9"/>
  <c r="CA13" i="9"/>
  <c r="CB13" i="9"/>
  <c r="CC13" i="9"/>
  <c r="CD13" i="9"/>
  <c r="CE13" i="9"/>
  <c r="CF13" i="9"/>
  <c r="CG13" i="9"/>
  <c r="CH13" i="9"/>
  <c r="CI13" i="9"/>
  <c r="BZ14" i="9"/>
  <c r="CA14" i="9"/>
  <c r="CB14" i="9"/>
  <c r="CC14" i="9"/>
  <c r="CD14" i="9"/>
  <c r="CE14" i="9"/>
  <c r="CF14" i="9"/>
  <c r="CG14" i="9"/>
  <c r="CH14" i="9"/>
  <c r="CI14" i="9"/>
  <c r="BZ15" i="9"/>
  <c r="CA15" i="9"/>
  <c r="CB15" i="9"/>
  <c r="CC15" i="9"/>
  <c r="CD15" i="9"/>
  <c r="CE15" i="9"/>
  <c r="CF15" i="9"/>
  <c r="CG15" i="9"/>
  <c r="CH15" i="9"/>
  <c r="CI15" i="9"/>
  <c r="BZ16" i="9"/>
  <c r="CA16" i="9"/>
  <c r="CB16" i="9"/>
  <c r="CC16" i="9"/>
  <c r="CD16" i="9"/>
  <c r="CE16" i="9"/>
  <c r="CF16" i="9"/>
  <c r="CG16" i="9"/>
  <c r="CH16" i="9"/>
  <c r="CI16" i="9"/>
  <c r="CA2" i="9"/>
  <c r="CB2" i="9"/>
  <c r="CC2" i="9"/>
  <c r="CD2" i="9"/>
  <c r="CE2" i="9"/>
  <c r="CF2" i="9"/>
  <c r="CG2" i="9"/>
  <c r="CH2" i="9"/>
  <c r="CI2" i="9"/>
  <c r="HY40" i="9"/>
  <c r="HY41" i="9"/>
  <c r="HY43" i="9"/>
  <c r="HY44" i="9"/>
  <c r="HY45" i="9"/>
  <c r="HY46" i="9"/>
  <c r="HY47" i="9"/>
  <c r="HY48" i="9"/>
  <c r="HY49" i="9"/>
  <c r="HY50" i="9"/>
  <c r="HY51" i="9"/>
  <c r="HY52" i="9"/>
  <c r="HY39" i="9"/>
  <c r="CI42" i="9"/>
  <c r="CH42" i="9"/>
  <c r="CG42" i="9"/>
  <c r="CF42" i="9"/>
  <c r="CE42" i="9"/>
  <c r="CD42" i="9"/>
  <c r="CC42" i="9"/>
  <c r="CB42" i="9"/>
  <c r="CA42" i="9"/>
  <c r="CM49" i="9"/>
  <c r="CO49" i="9"/>
  <c r="CM50" i="9"/>
  <c r="CO50" i="9"/>
  <c r="CM51" i="9"/>
  <c r="CO51" i="9"/>
  <c r="CM52" i="9"/>
  <c r="CO52" i="9"/>
  <c r="CO48" i="9"/>
  <c r="CM48" i="9"/>
  <c r="CM40" i="9"/>
  <c r="CO40" i="9"/>
  <c r="CM41" i="9"/>
  <c r="CO41" i="9"/>
  <c r="CM43" i="9"/>
  <c r="CO43" i="9"/>
  <c r="CM44" i="9"/>
  <c r="CO44" i="9"/>
  <c r="CM45" i="9"/>
  <c r="CO45" i="9"/>
  <c r="CM46" i="9"/>
  <c r="CO46" i="9"/>
  <c r="CO39" i="9"/>
  <c r="CM39" i="9"/>
  <c r="CA39" i="9"/>
  <c r="CB39" i="9"/>
  <c r="CC39" i="9"/>
  <c r="CD39" i="9"/>
  <c r="CE39" i="9"/>
  <c r="CF39" i="9"/>
  <c r="CG39" i="9"/>
  <c r="CH39" i="9"/>
  <c r="CI39" i="9"/>
  <c r="CA40" i="9"/>
  <c r="CB40" i="9"/>
  <c r="CC40" i="9"/>
  <c r="CD40" i="9"/>
  <c r="CE40" i="9"/>
  <c r="CF40" i="9"/>
  <c r="CG40" i="9"/>
  <c r="CH40" i="9"/>
  <c r="CI40" i="9"/>
  <c r="CA41" i="9"/>
  <c r="CB41" i="9"/>
  <c r="CC41" i="9"/>
  <c r="CD41" i="9"/>
  <c r="CE41" i="9"/>
  <c r="CF41" i="9"/>
  <c r="CG41" i="9"/>
  <c r="CH41" i="9"/>
  <c r="CI41" i="9"/>
  <c r="CA43" i="9"/>
  <c r="CB43" i="9"/>
  <c r="CC43" i="9"/>
  <c r="CD43" i="9"/>
  <c r="CE43" i="9"/>
  <c r="CF43" i="9"/>
  <c r="CG43" i="9"/>
  <c r="CH43" i="9"/>
  <c r="CI43" i="9"/>
  <c r="CA44" i="9"/>
  <c r="CB44" i="9"/>
  <c r="CC44" i="9"/>
  <c r="CD44" i="9"/>
  <c r="CE44" i="9"/>
  <c r="CF44" i="9"/>
  <c r="CG44" i="9"/>
  <c r="CH44" i="9"/>
  <c r="CI44" i="9"/>
  <c r="CA45" i="9"/>
  <c r="CB45" i="9"/>
  <c r="CC45" i="9"/>
  <c r="CD45" i="9"/>
  <c r="CE45" i="9"/>
  <c r="CF45" i="9"/>
  <c r="CG45" i="9"/>
  <c r="CH45" i="9"/>
  <c r="CI45" i="9"/>
  <c r="CA46" i="9"/>
  <c r="CB46" i="9"/>
  <c r="CC46" i="9"/>
  <c r="CD46" i="9"/>
  <c r="CE46" i="9"/>
  <c r="CF46" i="9"/>
  <c r="CG46" i="9"/>
  <c r="CH46" i="9"/>
  <c r="CI46" i="9"/>
  <c r="CA47" i="9"/>
  <c r="CB47" i="9"/>
  <c r="CC47" i="9"/>
  <c r="CD47" i="9"/>
  <c r="CE47" i="9"/>
  <c r="CF47" i="9"/>
  <c r="CG47" i="9"/>
  <c r="CH47" i="9"/>
  <c r="CI47" i="9"/>
  <c r="CA48" i="9"/>
  <c r="CB48" i="9"/>
  <c r="CC48" i="9"/>
  <c r="CD48" i="9"/>
  <c r="CE48" i="9"/>
  <c r="CF48" i="9"/>
  <c r="CG48" i="9"/>
  <c r="CH48" i="9"/>
  <c r="CI48" i="9"/>
  <c r="CA49" i="9"/>
  <c r="CB49" i="9"/>
  <c r="CC49" i="9"/>
  <c r="CD49" i="9"/>
  <c r="CE49" i="9"/>
  <c r="CF49" i="9"/>
  <c r="CG49" i="9"/>
  <c r="CH49" i="9"/>
  <c r="CI49" i="9"/>
  <c r="CA50" i="9"/>
  <c r="CB50" i="9"/>
  <c r="CC50" i="9"/>
  <c r="CD50" i="9"/>
  <c r="CE50" i="9"/>
  <c r="CF50" i="9"/>
  <c r="CG50" i="9"/>
  <c r="CH50" i="9"/>
  <c r="CI50" i="9"/>
  <c r="CA51" i="9"/>
  <c r="CB51" i="9"/>
  <c r="CC51" i="9"/>
  <c r="CD51" i="9"/>
  <c r="CE51" i="9"/>
  <c r="CF51" i="9"/>
  <c r="CG51" i="9"/>
  <c r="CH51" i="9"/>
  <c r="CI51" i="9"/>
  <c r="CA52" i="9"/>
  <c r="CB52" i="9"/>
  <c r="CC52" i="9"/>
  <c r="CD52" i="9"/>
  <c r="CE52" i="9"/>
  <c r="CF52" i="9"/>
  <c r="CG52" i="9"/>
  <c r="CH52" i="9"/>
  <c r="CI52" i="9"/>
  <c r="AQ77" i="9" a="1"/>
  <c r="AQ77" i="9" s="1"/>
  <c r="BS71" i="9"/>
  <c r="BT71" i="9"/>
  <c r="BU71" i="9"/>
  <c r="BV71" i="9"/>
  <c r="BW71" i="9"/>
  <c r="BT70" i="9"/>
  <c r="BU70" i="9"/>
  <c r="BV70" i="9"/>
  <c r="BW70" i="9"/>
  <c r="BS70" i="9"/>
  <c r="BJ71" i="9"/>
  <c r="BK71" i="9"/>
  <c r="BL71" i="9"/>
  <c r="BN71" i="9"/>
  <c r="BO71" i="9"/>
  <c r="BP71" i="9"/>
  <c r="BQ71" i="9"/>
  <c r="BK70" i="9"/>
  <c r="BL70" i="9"/>
  <c r="BN70" i="9"/>
  <c r="BO70" i="9"/>
  <c r="BP70" i="9"/>
  <c r="BQ70" i="9"/>
  <c r="BJ70" i="9"/>
  <c r="BK69" i="9"/>
  <c r="BL69" i="9"/>
  <c r="BN69" i="9"/>
  <c r="BO69" i="9"/>
  <c r="BP69" i="9"/>
  <c r="BQ69" i="9"/>
  <c r="BR69" i="9"/>
  <c r="BS69" i="9"/>
  <c r="BT69" i="9"/>
  <c r="BU69" i="9"/>
  <c r="BV69" i="9"/>
  <c r="BW69" i="9"/>
  <c r="BJ69" i="9"/>
  <c r="BS58" i="9"/>
  <c r="BT58" i="9"/>
  <c r="BU58" i="9"/>
  <c r="BV58" i="9"/>
  <c r="BW58" i="9"/>
  <c r="BS59" i="9"/>
  <c r="BT59" i="9"/>
  <c r="BU59" i="9"/>
  <c r="BV59" i="9"/>
  <c r="BW59" i="9"/>
  <c r="BS60" i="9"/>
  <c r="BT60" i="9"/>
  <c r="BU60" i="9"/>
  <c r="BV60" i="9"/>
  <c r="BW60" i="9"/>
  <c r="BS61" i="9"/>
  <c r="BT61" i="9"/>
  <c r="BU61" i="9"/>
  <c r="BV61" i="9"/>
  <c r="BW61" i="9"/>
  <c r="BS62" i="9"/>
  <c r="BT62" i="9"/>
  <c r="BU62" i="9"/>
  <c r="BV62" i="9"/>
  <c r="BW62" i="9"/>
  <c r="BS63" i="9"/>
  <c r="BT63" i="9"/>
  <c r="BU63" i="9"/>
  <c r="BV63" i="9"/>
  <c r="BW63" i="9"/>
  <c r="BS64" i="9"/>
  <c r="BT64" i="9"/>
  <c r="BU64" i="9"/>
  <c r="BV64" i="9"/>
  <c r="BW64" i="9"/>
  <c r="BS65" i="9"/>
  <c r="BT65" i="9"/>
  <c r="BU65" i="9"/>
  <c r="BV65" i="9"/>
  <c r="BW65" i="9"/>
  <c r="BT57" i="9"/>
  <c r="BU57" i="9"/>
  <c r="BV57" i="9"/>
  <c r="BW57" i="9"/>
  <c r="BS57" i="9"/>
  <c r="BJ58" i="9"/>
  <c r="BK58" i="9"/>
  <c r="BL58" i="9"/>
  <c r="BN58" i="9"/>
  <c r="BO58" i="9"/>
  <c r="BP58" i="9"/>
  <c r="BQ58" i="9"/>
  <c r="BJ59" i="9"/>
  <c r="BK59" i="9"/>
  <c r="BL59" i="9"/>
  <c r="BN59" i="9"/>
  <c r="BO59" i="9"/>
  <c r="BP59" i="9"/>
  <c r="BQ59" i="9"/>
  <c r="BJ60" i="9"/>
  <c r="BK60" i="9"/>
  <c r="BL60" i="9"/>
  <c r="BN60" i="9"/>
  <c r="BO60" i="9"/>
  <c r="BP60" i="9"/>
  <c r="BQ60" i="9"/>
  <c r="BJ61" i="9"/>
  <c r="BK61" i="9"/>
  <c r="BL61" i="9"/>
  <c r="BN61" i="9"/>
  <c r="BO61" i="9"/>
  <c r="BP61" i="9"/>
  <c r="BQ61" i="9"/>
  <c r="BJ62" i="9"/>
  <c r="BK62" i="9"/>
  <c r="BL62" i="9"/>
  <c r="BN62" i="9"/>
  <c r="BO62" i="9"/>
  <c r="BP62" i="9"/>
  <c r="BQ62" i="9"/>
  <c r="BJ63" i="9"/>
  <c r="BK63" i="9"/>
  <c r="BL63" i="9"/>
  <c r="BN63" i="9"/>
  <c r="BO63" i="9"/>
  <c r="BP63" i="9"/>
  <c r="BQ63" i="9"/>
  <c r="BJ64" i="9"/>
  <c r="BK64" i="9"/>
  <c r="BL64" i="9"/>
  <c r="BN64" i="9"/>
  <c r="BO64" i="9"/>
  <c r="BP64" i="9"/>
  <c r="BQ64" i="9"/>
  <c r="BJ65" i="9"/>
  <c r="BK65" i="9"/>
  <c r="BL65" i="9"/>
  <c r="BN65" i="9"/>
  <c r="BO65" i="9"/>
  <c r="BP65" i="9"/>
  <c r="BQ65" i="9"/>
  <c r="BK57" i="9"/>
  <c r="BL57" i="9"/>
  <c r="BN57" i="9"/>
  <c r="BO57" i="9"/>
  <c r="BP57" i="9"/>
  <c r="BQ57" i="9"/>
  <c r="BJ57" i="9"/>
  <c r="DP39" i="9" l="1" a="1"/>
  <c r="DP39" i="9" s="1"/>
  <c r="DP21" i="9" s="1"/>
  <c r="FX21" i="9" s="1"/>
  <c r="HM21" i="9" s="1"/>
  <c r="CY70" i="9" a="1"/>
  <c r="CY70" i="9" s="1"/>
  <c r="FG70" i="9" s="1"/>
  <c r="GV70" i="9" s="1"/>
  <c r="BF80" i="9"/>
  <c r="BR60" i="9" s="1"/>
  <c r="BF77" i="9"/>
  <c r="BR57" i="9" s="1"/>
  <c r="BF78" i="9"/>
  <c r="BR58" i="9" s="1"/>
  <c r="BF79" i="9"/>
  <c r="BR59" i="9" s="1"/>
  <c r="BF81" i="9"/>
  <c r="BR61" i="9" s="1"/>
  <c r="BF82" i="9"/>
  <c r="BR62" i="9" s="1"/>
  <c r="BF83" i="9"/>
  <c r="BR63" i="9" s="1"/>
  <c r="BF84" i="9"/>
  <c r="BR64" i="9" s="1"/>
  <c r="BF85" i="9"/>
  <c r="BR65" i="9" s="1"/>
  <c r="BJ77" i="9" l="1" a="1"/>
  <c r="BJ77" i="9" s="1"/>
  <c r="BY77" i="9" s="1"/>
  <c r="DQ43" i="9"/>
  <c r="EC7" i="9" s="1"/>
  <c r="GK7" i="9" s="1"/>
  <c r="HZ7" i="9" s="1"/>
  <c r="DQ42" i="9"/>
  <c r="DV45" i="9"/>
  <c r="DS47" i="9"/>
  <c r="DT47" i="9"/>
  <c r="DU39" i="9"/>
  <c r="EG3" i="9" s="1"/>
  <c r="GO3" i="9" s="1"/>
  <c r="ID3" i="9" s="1"/>
  <c r="DT48" i="9"/>
  <c r="DR49" i="9"/>
  <c r="DP51" i="9"/>
  <c r="DW52" i="9"/>
  <c r="DU40" i="9"/>
  <c r="DR42" i="9"/>
  <c r="DU46" i="9"/>
  <c r="DT51" i="9"/>
  <c r="DS50" i="9"/>
  <c r="DP42" i="9"/>
  <c r="DT40" i="9"/>
  <c r="DT39" i="9"/>
  <c r="DW45" i="9"/>
  <c r="DW44" i="9"/>
  <c r="DV40" i="9"/>
  <c r="EH4" i="9" s="1"/>
  <c r="GP4" i="9" s="1"/>
  <c r="IE4" i="9" s="1"/>
  <c r="DX44" i="9"/>
  <c r="DW43" i="9"/>
  <c r="DQ50" i="9"/>
  <c r="DI71" i="9"/>
  <c r="FQ71" i="9" s="1"/>
  <c r="HF71" i="9" s="1"/>
  <c r="DX45" i="9"/>
  <c r="DP45" i="9"/>
  <c r="DX52" i="9"/>
  <c r="DS41" i="9"/>
  <c r="DQ51" i="9"/>
  <c r="DQ41" i="9"/>
  <c r="DV52" i="9"/>
  <c r="DR43" i="9"/>
  <c r="DP41" i="9"/>
  <c r="EB5" i="9" s="1"/>
  <c r="GJ5" i="9" s="1"/>
  <c r="HY5" i="9" s="1"/>
  <c r="DU48" i="9"/>
  <c r="DR41" i="9"/>
  <c r="DR50" i="9"/>
  <c r="DT43" i="9"/>
  <c r="DU47" i="9"/>
  <c r="DR51" i="9"/>
  <c r="DB70" i="9"/>
  <c r="FJ70" i="9" s="1"/>
  <c r="GY70" i="9" s="1"/>
  <c r="DS43" i="9"/>
  <c r="DS42" i="9"/>
  <c r="DW39" i="9"/>
  <c r="DX43" i="9"/>
  <c r="DE70" i="9"/>
  <c r="FM70" i="9" s="1"/>
  <c r="HB70" i="9" s="1"/>
  <c r="DU51" i="9"/>
  <c r="DQ45" i="9"/>
  <c r="DV43" i="9"/>
  <c r="DT42" i="9"/>
  <c r="DQ39" i="9"/>
  <c r="DW40" i="9"/>
  <c r="DD71" i="9"/>
  <c r="FL71" i="9" s="1"/>
  <c r="HA71" i="9" s="1"/>
  <c r="DW41" i="9"/>
  <c r="DQ46" i="9"/>
  <c r="DE71" i="9"/>
  <c r="FM71" i="9" s="1"/>
  <c r="HB71" i="9" s="1"/>
  <c r="DT44" i="9"/>
  <c r="DW48" i="9"/>
  <c r="DF71" i="9"/>
  <c r="FN71" i="9" s="1"/>
  <c r="HC71" i="9" s="1"/>
  <c r="DQ47" i="9"/>
  <c r="DX40" i="9"/>
  <c r="DG71" i="9"/>
  <c r="FO71" i="9" s="1"/>
  <c r="HD71" i="9" s="1"/>
  <c r="DW49" i="9"/>
  <c r="DX48" i="9"/>
  <c r="DH71" i="9"/>
  <c r="FP71" i="9" s="1"/>
  <c r="HE71" i="9" s="1"/>
  <c r="DT52" i="9"/>
  <c r="DR44" i="9"/>
  <c r="DR39" i="9"/>
  <c r="DR52" i="9"/>
  <c r="DU44" i="9"/>
  <c r="DU41" i="9"/>
  <c r="DR47" i="9"/>
  <c r="DV46" i="9"/>
  <c r="DV49" i="9"/>
  <c r="DR48" i="9"/>
  <c r="DU45" i="9"/>
  <c r="DP52" i="9"/>
  <c r="DQ52" i="9"/>
  <c r="CY57" i="9" a="1"/>
  <c r="DH65" i="9" s="1"/>
  <c r="FP65" i="9" s="1"/>
  <c r="HE65" i="9" s="1"/>
  <c r="DS51" i="9"/>
  <c r="DV39" i="9"/>
  <c r="DK71" i="9"/>
  <c r="FS71" i="9" s="1"/>
  <c r="HH71" i="9" s="1"/>
  <c r="DT46" i="9"/>
  <c r="DU43" i="9"/>
  <c r="DQ44" i="9"/>
  <c r="DC70" i="9"/>
  <c r="FK70" i="9" s="1"/>
  <c r="GZ70" i="9" s="1"/>
  <c r="DR46" i="9"/>
  <c r="DP46" i="9"/>
  <c r="DV47" i="9"/>
  <c r="DV48" i="9"/>
  <c r="DB71" i="9"/>
  <c r="FJ71" i="9" s="1"/>
  <c r="GY71" i="9" s="1"/>
  <c r="DW47" i="9"/>
  <c r="DQ49" i="9"/>
  <c r="DU42" i="9"/>
  <c r="DT50" i="9"/>
  <c r="EF14" i="9" s="1"/>
  <c r="GN14" i="9" s="1"/>
  <c r="IC14" i="9" s="1"/>
  <c r="DP49" i="9"/>
  <c r="DX47" i="9"/>
  <c r="DX39" i="9"/>
  <c r="DX46" i="9"/>
  <c r="DP40" i="9"/>
  <c r="DR45" i="9"/>
  <c r="ED9" i="9" s="1"/>
  <c r="GL9" i="9" s="1"/>
  <c r="IA9" i="9" s="1"/>
  <c r="DW46" i="9"/>
  <c r="DS45" i="9"/>
  <c r="DU50" i="9"/>
  <c r="DS46" i="9"/>
  <c r="DV50" i="9"/>
  <c r="DV42" i="9"/>
  <c r="DQ40" i="9"/>
  <c r="DP48" i="9"/>
  <c r="DS44" i="9"/>
  <c r="DX51" i="9"/>
  <c r="DW50" i="9"/>
  <c r="DQ48" i="9"/>
  <c r="DX42" i="9"/>
  <c r="DR40" i="9"/>
  <c r="DS49" i="9"/>
  <c r="DP44" i="9"/>
  <c r="DS52" i="9"/>
  <c r="DX41" i="9"/>
  <c r="DP43" i="9"/>
  <c r="DV44" i="9"/>
  <c r="DX50" i="9"/>
  <c r="DU49" i="9"/>
  <c r="DT41" i="9"/>
  <c r="DV41" i="9"/>
  <c r="DW51" i="9"/>
  <c r="EI15" i="9" s="1"/>
  <c r="GQ15" i="9" s="1"/>
  <c r="IF15" i="9" s="1"/>
  <c r="DT45" i="9"/>
  <c r="DW42" i="9"/>
  <c r="DP47" i="9"/>
  <c r="DV51" i="9"/>
  <c r="DX49" i="9"/>
  <c r="EJ13" i="9" s="1"/>
  <c r="GR13" i="9" s="1"/>
  <c r="IG13" i="9" s="1"/>
  <c r="DS39" i="9"/>
  <c r="DU52" i="9"/>
  <c r="DS48" i="9"/>
  <c r="EE12" i="9" s="1"/>
  <c r="GM12" i="9" s="1"/>
  <c r="IB12" i="9" s="1"/>
  <c r="DP50" i="9"/>
  <c r="DS40" i="9"/>
  <c r="DT49" i="9"/>
  <c r="DD70" i="9"/>
  <c r="FL70" i="9" s="1"/>
  <c r="HA70" i="9" s="1"/>
  <c r="DI70" i="9"/>
  <c r="FQ70" i="9" s="1"/>
  <c r="HF70" i="9" s="1"/>
  <c r="DL70" i="9"/>
  <c r="FT70" i="9" s="1"/>
  <c r="HI70" i="9" s="1"/>
  <c r="DJ70" i="9"/>
  <c r="FR70" i="9" s="1"/>
  <c r="HG70" i="9" s="1"/>
  <c r="DK70" i="9"/>
  <c r="FS70" i="9" s="1"/>
  <c r="HH70" i="9" s="1"/>
  <c r="DF70" i="9"/>
  <c r="FN70" i="9" s="1"/>
  <c r="HC70" i="9" s="1"/>
  <c r="DJ71" i="9"/>
  <c r="FR71" i="9" s="1"/>
  <c r="HG71" i="9" s="1"/>
  <c r="DG70" i="9"/>
  <c r="FO70" i="9" s="1"/>
  <c r="HD70" i="9" s="1"/>
  <c r="DH70" i="9"/>
  <c r="FP70" i="9" s="1"/>
  <c r="HE70" i="9" s="1"/>
  <c r="CY71" i="9"/>
  <c r="FG71" i="9" s="1"/>
  <c r="GV71" i="9" s="1"/>
  <c r="DA70" i="9"/>
  <c r="FI70" i="9" s="1"/>
  <c r="GX70" i="9" s="1"/>
  <c r="DC71" i="9"/>
  <c r="FK71" i="9" s="1"/>
  <c r="GZ71" i="9" s="1"/>
  <c r="CZ71" i="9"/>
  <c r="FH71" i="9" s="1"/>
  <c r="GW71" i="9" s="1"/>
  <c r="DA71" i="9"/>
  <c r="FI71" i="9" s="1"/>
  <c r="GX71" i="9" s="1"/>
  <c r="CZ70" i="9"/>
  <c r="FH70" i="9" s="1"/>
  <c r="GW70" i="9" s="1"/>
  <c r="DL71" i="9"/>
  <c r="FT71" i="9" s="1"/>
  <c r="HI71" i="9" s="1"/>
  <c r="FX39" i="9"/>
  <c r="HM39" i="9" s="1"/>
  <c r="CN47" i="9"/>
  <c r="EB39" i="9" s="1" a="1"/>
  <c r="GC44" i="9" l="1"/>
  <c r="HR44" i="9" s="1"/>
  <c r="DU8" i="9"/>
  <c r="DU26" i="9"/>
  <c r="GC26" i="9" s="1"/>
  <c r="HR26" i="9" s="1"/>
  <c r="FZ52" i="9"/>
  <c r="HO52" i="9" s="1"/>
  <c r="DR34" i="9"/>
  <c r="FZ34" i="9" s="1"/>
  <c r="HO34" i="9" s="1"/>
  <c r="FY49" i="9"/>
  <c r="HN49" i="9" s="1"/>
  <c r="DQ31" i="9"/>
  <c r="FY31" i="9" s="1"/>
  <c r="HN31" i="9" s="1"/>
  <c r="GF41" i="9"/>
  <c r="HU41" i="9" s="1"/>
  <c r="DX23" i="9"/>
  <c r="GF23" i="9" s="1"/>
  <c r="HU23" i="9" s="1"/>
  <c r="GE43" i="9"/>
  <c r="HT43" i="9" s="1"/>
  <c r="DW25" i="9"/>
  <c r="GE25" i="9" s="1"/>
  <c r="HT25" i="9" s="1"/>
  <c r="GF43" i="9"/>
  <c r="HU43" i="9" s="1"/>
  <c r="DX25" i="9"/>
  <c r="GF25" i="9" s="1"/>
  <c r="HU25" i="9" s="1"/>
  <c r="GC42" i="9"/>
  <c r="HR42" i="9" s="1"/>
  <c r="DU24" i="9"/>
  <c r="GC24" i="9" s="1"/>
  <c r="HR24" i="9" s="1"/>
  <c r="GE47" i="9"/>
  <c r="HT47" i="9" s="1"/>
  <c r="DW29" i="9"/>
  <c r="GE29" i="9" s="1"/>
  <c r="HT29" i="9" s="1"/>
  <c r="GE44" i="9"/>
  <c r="HT44" i="9" s="1"/>
  <c r="DW8" i="9"/>
  <c r="GE8" i="9" s="1"/>
  <c r="HT8" i="9" s="1"/>
  <c r="GE50" i="9"/>
  <c r="HT50" i="9" s="1"/>
  <c r="DW32" i="9"/>
  <c r="GE32" i="9" s="1"/>
  <c r="HT32" i="9" s="1"/>
  <c r="GF51" i="9"/>
  <c r="HU51" i="9" s="1"/>
  <c r="DX33" i="9"/>
  <c r="GF33" i="9" s="1"/>
  <c r="HU33" i="9" s="1"/>
  <c r="GA50" i="9"/>
  <c r="HP50" i="9" s="1"/>
  <c r="DS14" i="9"/>
  <c r="GA14" i="9" s="1"/>
  <c r="HP14" i="9" s="1"/>
  <c r="FY47" i="9"/>
  <c r="HN47" i="9" s="1"/>
  <c r="DQ29" i="9"/>
  <c r="FY29" i="9" s="1"/>
  <c r="HN29" i="9" s="1"/>
  <c r="GB46" i="9"/>
  <c r="HQ46" i="9" s="1"/>
  <c r="DT10" i="9"/>
  <c r="GB10" i="9" s="1"/>
  <c r="HQ10" i="9" s="1"/>
  <c r="GE52" i="9"/>
  <c r="HT52" i="9" s="1"/>
  <c r="DW16" i="9"/>
  <c r="DW34" i="9"/>
  <c r="GE34" i="9" s="1"/>
  <c r="HT34" i="9" s="1"/>
  <c r="GC40" i="9"/>
  <c r="HR40" i="9" s="1"/>
  <c r="DU22" i="9"/>
  <c r="GC22" i="9" s="1"/>
  <c r="HR22" i="9" s="1"/>
  <c r="GD51" i="9"/>
  <c r="HS51" i="9" s="1"/>
  <c r="DV33" i="9"/>
  <c r="GD33" i="9" s="1"/>
  <c r="HS33" i="9" s="1"/>
  <c r="GA46" i="9"/>
  <c r="HP46" i="9" s="1"/>
  <c r="DS10" i="9"/>
  <c r="GA10" i="9" s="1"/>
  <c r="HP10" i="9" s="1"/>
  <c r="FZ43" i="9"/>
  <c r="HO43" i="9" s="1"/>
  <c r="DR25" i="9"/>
  <c r="FZ25" i="9" s="1"/>
  <c r="HO25" i="9" s="1"/>
  <c r="GA49" i="9"/>
  <c r="HP49" i="9" s="1"/>
  <c r="DS31" i="9"/>
  <c r="GA31" i="9" s="1"/>
  <c r="HP31" i="9" s="1"/>
  <c r="FZ40" i="9"/>
  <c r="HO40" i="9" s="1"/>
  <c r="DR22" i="9"/>
  <c r="FZ22" i="9" s="1"/>
  <c r="HO22" i="9" s="1"/>
  <c r="FZ44" i="9"/>
  <c r="HO44" i="9" s="1"/>
  <c r="DR8" i="9"/>
  <c r="GF42" i="9"/>
  <c r="HU42" i="9" s="1"/>
  <c r="DX24" i="9"/>
  <c r="GF24" i="9" s="1"/>
  <c r="HU24" i="9" s="1"/>
  <c r="GB39" i="9"/>
  <c r="HQ39" i="9" s="1"/>
  <c r="DT21" i="9"/>
  <c r="GB21" i="9" s="1"/>
  <c r="HQ21" i="9" s="1"/>
  <c r="FY48" i="9"/>
  <c r="HN48" i="9" s="1"/>
  <c r="DQ30" i="9"/>
  <c r="FY30" i="9" s="1"/>
  <c r="HN30" i="9" s="1"/>
  <c r="GA40" i="9"/>
  <c r="HP40" i="9" s="1"/>
  <c r="DS22" i="9"/>
  <c r="GA22" i="9" s="1"/>
  <c r="HP22" i="9" s="1"/>
  <c r="FX42" i="9"/>
  <c r="HM42" i="9" s="1"/>
  <c r="DP24" i="9"/>
  <c r="FX24" i="9" s="1"/>
  <c r="HM24" i="9" s="1"/>
  <c r="GC47" i="9"/>
  <c r="HR47" i="9" s="1"/>
  <c r="DU29" i="9"/>
  <c r="GC29" i="9" s="1"/>
  <c r="HR29" i="9" s="1"/>
  <c r="GA48" i="9"/>
  <c r="HP48" i="9" s="1"/>
  <c r="DS30" i="9"/>
  <c r="GA30" i="9" s="1"/>
  <c r="HP30" i="9" s="1"/>
  <c r="GC43" i="9"/>
  <c r="HR43" i="9" s="1"/>
  <c r="DU25" i="9"/>
  <c r="GC25" i="9" s="1"/>
  <c r="HR25" i="9" s="1"/>
  <c r="FZ42" i="9"/>
  <c r="HO42" i="9" s="1"/>
  <c r="DR24" i="9"/>
  <c r="FZ24" i="9" s="1"/>
  <c r="HO24" i="9" s="1"/>
  <c r="GF49" i="9"/>
  <c r="HU49" i="9" s="1"/>
  <c r="DX31" i="9"/>
  <c r="GF31" i="9" s="1"/>
  <c r="HU31" i="9" s="1"/>
  <c r="GB44" i="9"/>
  <c r="HQ44" i="9" s="1"/>
  <c r="DT8" i="9"/>
  <c r="GB8" i="9" s="1"/>
  <c r="HQ8" i="9" s="1"/>
  <c r="GC51" i="9"/>
  <c r="HR51" i="9" s="1"/>
  <c r="DU33" i="9"/>
  <c r="GC33" i="9" s="1"/>
  <c r="HR33" i="9" s="1"/>
  <c r="FX44" i="9"/>
  <c r="HM44" i="9" s="1"/>
  <c r="DP8" i="9"/>
  <c r="FX8" i="9" s="1"/>
  <c r="HM8" i="9" s="1"/>
  <c r="FZ39" i="9"/>
  <c r="HO39" i="9" s="1"/>
  <c r="DR21" i="9"/>
  <c r="FZ21" i="9" s="1"/>
  <c r="HO21" i="9" s="1"/>
  <c r="GA42" i="9"/>
  <c r="HP42" i="9" s="1"/>
  <c r="DS24" i="9"/>
  <c r="GA24" i="9" s="1"/>
  <c r="HP24" i="9" s="1"/>
  <c r="GA43" i="9"/>
  <c r="HP43" i="9" s="1"/>
  <c r="DS25" i="9"/>
  <c r="GA25" i="9" s="1"/>
  <c r="HP25" i="9" s="1"/>
  <c r="GD47" i="9"/>
  <c r="HS47" i="9" s="1"/>
  <c r="DV29" i="9"/>
  <c r="GD29" i="9" s="1"/>
  <c r="HS29" i="9" s="1"/>
  <c r="FX46" i="9"/>
  <c r="HM46" i="9" s="1"/>
  <c r="DP10" i="9"/>
  <c r="FX10" i="9" s="1"/>
  <c r="HM10" i="9" s="1"/>
  <c r="GE49" i="9"/>
  <c r="HT49" i="9" s="1"/>
  <c r="DW31" i="9"/>
  <c r="GE31" i="9" s="1"/>
  <c r="HT31" i="9" s="1"/>
  <c r="GB43" i="9"/>
  <c r="HQ43" i="9" s="1"/>
  <c r="DT25" i="9"/>
  <c r="GB25" i="9" s="1"/>
  <c r="HQ25" i="9" s="1"/>
  <c r="FX48" i="9"/>
  <c r="HM48" i="9" s="1"/>
  <c r="DP30" i="9"/>
  <c r="FX30" i="9" s="1"/>
  <c r="HM30" i="9" s="1"/>
  <c r="GF40" i="9"/>
  <c r="HU40" i="9" s="1"/>
  <c r="DX22" i="9"/>
  <c r="GF22" i="9" s="1"/>
  <c r="HU22" i="9" s="1"/>
  <c r="GC46" i="9"/>
  <c r="HR46" i="9" s="1"/>
  <c r="DU10" i="9"/>
  <c r="GC10" i="9" s="1"/>
  <c r="HR10" i="9" s="1"/>
  <c r="FY40" i="9"/>
  <c r="HN40" i="9" s="1"/>
  <c r="DQ22" i="9"/>
  <c r="FY22" i="9" s="1"/>
  <c r="HN22" i="9" s="1"/>
  <c r="GD50" i="9"/>
  <c r="HS50" i="9" s="1"/>
  <c r="DV32" i="9"/>
  <c r="GD32" i="9" s="1"/>
  <c r="HS32" i="9" s="1"/>
  <c r="GE48" i="9"/>
  <c r="HT48" i="9" s="1"/>
  <c r="DW30" i="9"/>
  <c r="GE30" i="9" s="1"/>
  <c r="HT30" i="9" s="1"/>
  <c r="FX47" i="9"/>
  <c r="HM47" i="9" s="1"/>
  <c r="DP29" i="9"/>
  <c r="FX29" i="9" s="1"/>
  <c r="HM29" i="9" s="1"/>
  <c r="FZ49" i="9"/>
  <c r="HO49" i="9" s="1"/>
  <c r="DR31" i="9"/>
  <c r="FZ31" i="9" s="1"/>
  <c r="HO31" i="9" s="1"/>
  <c r="GB45" i="9"/>
  <c r="HQ45" i="9" s="1"/>
  <c r="DT27" i="9"/>
  <c r="GB27" i="9" s="1"/>
  <c r="HQ27" i="9" s="1"/>
  <c r="FY46" i="9"/>
  <c r="HN46" i="9" s="1"/>
  <c r="DQ10" i="9"/>
  <c r="FY52" i="9"/>
  <c r="HN52" i="9" s="1"/>
  <c r="DQ34" i="9"/>
  <c r="FY34" i="9" s="1"/>
  <c r="HN34" i="9" s="1"/>
  <c r="FY51" i="9"/>
  <c r="HN51" i="9" s="1"/>
  <c r="DQ33" i="9"/>
  <c r="FY33" i="9" s="1"/>
  <c r="HN33" i="9" s="1"/>
  <c r="GC39" i="9"/>
  <c r="HR39" i="9" s="1"/>
  <c r="DU21" i="9"/>
  <c r="GC21" i="9" s="1"/>
  <c r="HR21" i="9" s="1"/>
  <c r="GD41" i="9"/>
  <c r="HS41" i="9" s="1"/>
  <c r="DV23" i="9"/>
  <c r="GD23" i="9" s="1"/>
  <c r="HS23" i="9" s="1"/>
  <c r="FX52" i="9"/>
  <c r="HM52" i="9" s="1"/>
  <c r="DP34" i="9"/>
  <c r="FX34" i="9" s="1"/>
  <c r="HM34" i="9" s="1"/>
  <c r="FY39" i="9"/>
  <c r="HN39" i="9" s="1"/>
  <c r="DQ21" i="9"/>
  <c r="FY21" i="9" s="1"/>
  <c r="HN21" i="9" s="1"/>
  <c r="GD45" i="9"/>
  <c r="HS45" i="9" s="1"/>
  <c r="DV27" i="9"/>
  <c r="GD27" i="9" s="1"/>
  <c r="HS27" i="9" s="1"/>
  <c r="GC41" i="9"/>
  <c r="HR41" i="9" s="1"/>
  <c r="DU5" i="9"/>
  <c r="GC5" i="9" s="1"/>
  <c r="HR5" i="9" s="1"/>
  <c r="GD40" i="9"/>
  <c r="HS40" i="9" s="1"/>
  <c r="DV22" i="9"/>
  <c r="GD22" i="9" s="1"/>
  <c r="HS22" i="9" s="1"/>
  <c r="GE45" i="9"/>
  <c r="HT45" i="9" s="1"/>
  <c r="DW27" i="9"/>
  <c r="GE27" i="9" s="1"/>
  <c r="HT27" i="9" s="1"/>
  <c r="GD48" i="9"/>
  <c r="HS48" i="9" s="1"/>
  <c r="DV30" i="9"/>
  <c r="GD30" i="9" s="1"/>
  <c r="HS30" i="9" s="1"/>
  <c r="GB49" i="9"/>
  <c r="HQ49" i="9" s="1"/>
  <c r="DT31" i="9"/>
  <c r="GB31" i="9" s="1"/>
  <c r="HQ31" i="9" s="1"/>
  <c r="GB40" i="9"/>
  <c r="HQ40" i="9" s="1"/>
  <c r="DT22" i="9"/>
  <c r="GB22" i="9" s="1"/>
  <c r="HQ22" i="9" s="1"/>
  <c r="GF48" i="9"/>
  <c r="HU48" i="9" s="1"/>
  <c r="DX30" i="9"/>
  <c r="GF30" i="9" s="1"/>
  <c r="HU30" i="9" s="1"/>
  <c r="FZ46" i="9"/>
  <c r="HO46" i="9" s="1"/>
  <c r="DR10" i="9"/>
  <c r="GA44" i="9"/>
  <c r="HP44" i="9" s="1"/>
  <c r="DS8" i="9"/>
  <c r="GB51" i="9"/>
  <c r="HQ51" i="9" s="1"/>
  <c r="DT33" i="9"/>
  <c r="GB33" i="9" s="1"/>
  <c r="HQ33" i="9" s="1"/>
  <c r="GC52" i="9"/>
  <c r="HR52" i="9" s="1"/>
  <c r="DU34" i="9"/>
  <c r="GC34" i="9" s="1"/>
  <c r="HR34" i="9" s="1"/>
  <c r="FY44" i="9"/>
  <c r="HN44" i="9" s="1"/>
  <c r="DQ8" i="9"/>
  <c r="FY8" i="9" s="1"/>
  <c r="HN8" i="9" s="1"/>
  <c r="FZ50" i="9"/>
  <c r="HO50" i="9" s="1"/>
  <c r="DR32" i="9"/>
  <c r="FZ32" i="9" s="1"/>
  <c r="HO32" i="9" s="1"/>
  <c r="GA39" i="9"/>
  <c r="HP39" i="9" s="1"/>
  <c r="DS21" i="9"/>
  <c r="GA21" i="9" s="1"/>
  <c r="HP21" i="9" s="1"/>
  <c r="FZ41" i="9"/>
  <c r="HO41" i="9" s="1"/>
  <c r="DR23" i="9"/>
  <c r="FZ23" i="9" s="1"/>
  <c r="HO23" i="9" s="1"/>
  <c r="GD42" i="9"/>
  <c r="HS42" i="9" s="1"/>
  <c r="DV24" i="9"/>
  <c r="GD24" i="9" s="1"/>
  <c r="HS24" i="9" s="1"/>
  <c r="GC48" i="9"/>
  <c r="HR48" i="9" s="1"/>
  <c r="DU30" i="9"/>
  <c r="GC30" i="9" s="1"/>
  <c r="HR30" i="9" s="1"/>
  <c r="FX41" i="9"/>
  <c r="HM41" i="9" s="1"/>
  <c r="DP23" i="9"/>
  <c r="FX23" i="9" s="1"/>
  <c r="HM23" i="9" s="1"/>
  <c r="GD39" i="9"/>
  <c r="HS39" i="9" s="1"/>
  <c r="DV21" i="9"/>
  <c r="GD21" i="9" s="1"/>
  <c r="HS21" i="9" s="1"/>
  <c r="FX51" i="9"/>
  <c r="HM51" i="9" s="1"/>
  <c r="DP33" i="9"/>
  <c r="FX33" i="9" s="1"/>
  <c r="HM33" i="9" s="1"/>
  <c r="GE42" i="9"/>
  <c r="HT42" i="9" s="1"/>
  <c r="DW24" i="9"/>
  <c r="GE24" i="9" s="1"/>
  <c r="HT24" i="9" s="1"/>
  <c r="GC50" i="9"/>
  <c r="HR50" i="9" s="1"/>
  <c r="DU32" i="9"/>
  <c r="GC32" i="9" s="1"/>
  <c r="HR32" i="9" s="1"/>
  <c r="GA51" i="9"/>
  <c r="HP51" i="9" s="1"/>
  <c r="DS33" i="9"/>
  <c r="GA33" i="9" s="1"/>
  <c r="HP33" i="9" s="1"/>
  <c r="GD52" i="9"/>
  <c r="HS52" i="9" s="1"/>
  <c r="DV34" i="9"/>
  <c r="GD34" i="9" s="1"/>
  <c r="HS34" i="9" s="1"/>
  <c r="GA45" i="9"/>
  <c r="HP45" i="9" s="1"/>
  <c r="DS27" i="9"/>
  <c r="GA27" i="9" s="1"/>
  <c r="HP27" i="9" s="1"/>
  <c r="GB48" i="9"/>
  <c r="HQ48" i="9" s="1"/>
  <c r="DT30" i="9"/>
  <c r="GB30" i="9" s="1"/>
  <c r="HQ30" i="9" s="1"/>
  <c r="GE46" i="9"/>
  <c r="HT46" i="9" s="1"/>
  <c r="DW10" i="9"/>
  <c r="GB47" i="9"/>
  <c r="HQ47" i="9" s="1"/>
  <c r="DT29" i="9"/>
  <c r="GB29" i="9" s="1"/>
  <c r="HQ29" i="9" s="1"/>
  <c r="GB41" i="9"/>
  <c r="HQ41" i="9" s="1"/>
  <c r="DT23" i="9"/>
  <c r="GB23" i="9" s="1"/>
  <c r="HQ23" i="9" s="1"/>
  <c r="GC45" i="9"/>
  <c r="HR45" i="9" s="1"/>
  <c r="DU27" i="9"/>
  <c r="GC27" i="9" s="1"/>
  <c r="HR27" i="9" s="1"/>
  <c r="GF52" i="9"/>
  <c r="HU52" i="9" s="1"/>
  <c r="DX34" i="9"/>
  <c r="GF34" i="9" s="1"/>
  <c r="HU34" i="9" s="1"/>
  <c r="GF46" i="9"/>
  <c r="HU46" i="9" s="1"/>
  <c r="DX10" i="9"/>
  <c r="GF10" i="9" s="1"/>
  <c r="HU10" i="9" s="1"/>
  <c r="FZ48" i="9"/>
  <c r="HO48" i="9" s="1"/>
  <c r="DR30" i="9"/>
  <c r="FZ30" i="9" s="1"/>
  <c r="HO30" i="9" s="1"/>
  <c r="GF50" i="9"/>
  <c r="HU50" i="9" s="1"/>
  <c r="DX32" i="9"/>
  <c r="GF32" i="9" s="1"/>
  <c r="HU32" i="9" s="1"/>
  <c r="GF39" i="9"/>
  <c r="HU39" i="9" s="1"/>
  <c r="DX21" i="9"/>
  <c r="GF21" i="9" s="1"/>
  <c r="HU21" i="9" s="1"/>
  <c r="GD49" i="9"/>
  <c r="HS49" i="9" s="1"/>
  <c r="DV31" i="9"/>
  <c r="GD31" i="9" s="1"/>
  <c r="HS31" i="9" s="1"/>
  <c r="GB42" i="9"/>
  <c r="HQ42" i="9" s="1"/>
  <c r="DT24" i="9"/>
  <c r="GB24" i="9" s="1"/>
  <c r="HQ24" i="9" s="1"/>
  <c r="GF45" i="9"/>
  <c r="HU45" i="9" s="1"/>
  <c r="DX27" i="9"/>
  <c r="GF27" i="9" s="1"/>
  <c r="HU27" i="9" s="1"/>
  <c r="FY42" i="9"/>
  <c r="HN42" i="9" s="1"/>
  <c r="DQ24" i="9"/>
  <c r="FY24" i="9" s="1"/>
  <c r="HN24" i="9" s="1"/>
  <c r="FY41" i="9"/>
  <c r="HN41" i="9" s="1"/>
  <c r="DQ23" i="9"/>
  <c r="FY23" i="9" s="1"/>
  <c r="HN23" i="9" s="1"/>
  <c r="GE51" i="9"/>
  <c r="HT51" i="9" s="1"/>
  <c r="DW33" i="9"/>
  <c r="GE33" i="9" s="1"/>
  <c r="HT33" i="9" s="1"/>
  <c r="GE41" i="9"/>
  <c r="HT41" i="9" s="1"/>
  <c r="DW23" i="9"/>
  <c r="GE23" i="9" s="1"/>
  <c r="HT23" i="9" s="1"/>
  <c r="FZ45" i="9"/>
  <c r="HO45" i="9" s="1"/>
  <c r="DR27" i="9"/>
  <c r="FZ27" i="9" s="1"/>
  <c r="HO27" i="9" s="1"/>
  <c r="GA41" i="9"/>
  <c r="HP41" i="9" s="1"/>
  <c r="DS23" i="9"/>
  <c r="GA23" i="9" s="1"/>
  <c r="HP23" i="9" s="1"/>
  <c r="FX40" i="9"/>
  <c r="HM40" i="9" s="1"/>
  <c r="DP4" i="9"/>
  <c r="FX4" i="9" s="1"/>
  <c r="HM4" i="9" s="1"/>
  <c r="GE40" i="9"/>
  <c r="HT40" i="9" s="1"/>
  <c r="DW22" i="9"/>
  <c r="GE22" i="9" s="1"/>
  <c r="HT22" i="9" s="1"/>
  <c r="GA47" i="9"/>
  <c r="HP47" i="9" s="1"/>
  <c r="DS29" i="9"/>
  <c r="GA29" i="9" s="1"/>
  <c r="HP29" i="9" s="1"/>
  <c r="GC49" i="9"/>
  <c r="HR49" i="9" s="1"/>
  <c r="DU31" i="9"/>
  <c r="GC31" i="9" s="1"/>
  <c r="HR31" i="9" s="1"/>
  <c r="FX45" i="9"/>
  <c r="HM45" i="9" s="1"/>
  <c r="DP27" i="9"/>
  <c r="FX27" i="9" s="1"/>
  <c r="HM27" i="9" s="1"/>
  <c r="GD44" i="9"/>
  <c r="HS44" i="9" s="1"/>
  <c r="DV8" i="9"/>
  <c r="GF47" i="9"/>
  <c r="HU47" i="9" s="1"/>
  <c r="DX29" i="9"/>
  <c r="GF29" i="9" s="1"/>
  <c r="HU29" i="9" s="1"/>
  <c r="GD46" i="9"/>
  <c r="HS46" i="9" s="1"/>
  <c r="DV10" i="9"/>
  <c r="GD10" i="9" s="1"/>
  <c r="HS10" i="9" s="1"/>
  <c r="GD43" i="9"/>
  <c r="HS43" i="9" s="1"/>
  <c r="DV7" i="9"/>
  <c r="DV25" i="9"/>
  <c r="GD25" i="9" s="1"/>
  <c r="HS25" i="9" s="1"/>
  <c r="FY43" i="9"/>
  <c r="HN43" i="9" s="1"/>
  <c r="DQ25" i="9"/>
  <c r="FY25" i="9" s="1"/>
  <c r="HN25" i="9" s="1"/>
  <c r="GB50" i="9"/>
  <c r="HQ50" i="9" s="1"/>
  <c r="DT32" i="9"/>
  <c r="GB32" i="9" s="1"/>
  <c r="HQ32" i="9" s="1"/>
  <c r="GA52" i="9"/>
  <c r="HP52" i="9" s="1"/>
  <c r="DS34" i="9"/>
  <c r="GA34" i="9" s="1"/>
  <c r="HP34" i="9" s="1"/>
  <c r="GF44" i="9"/>
  <c r="HU44" i="9" s="1"/>
  <c r="DX8" i="9"/>
  <c r="GE39" i="9"/>
  <c r="HT39" i="9" s="1"/>
  <c r="DW21" i="9"/>
  <c r="GE21" i="9" s="1"/>
  <c r="HT21" i="9" s="1"/>
  <c r="GB52" i="9"/>
  <c r="HQ52" i="9" s="1"/>
  <c r="DT34" i="9"/>
  <c r="GB34" i="9" s="1"/>
  <c r="HQ34" i="9" s="1"/>
  <c r="FZ51" i="9"/>
  <c r="HO51" i="9" s="1"/>
  <c r="DR33" i="9"/>
  <c r="FZ33" i="9" s="1"/>
  <c r="HO33" i="9" s="1"/>
  <c r="FX50" i="9"/>
  <c r="HM50" i="9" s="1"/>
  <c r="DP32" i="9"/>
  <c r="FX32" i="9" s="1"/>
  <c r="HM32" i="9" s="1"/>
  <c r="FX43" i="9"/>
  <c r="HM43" i="9" s="1"/>
  <c r="DP25" i="9"/>
  <c r="FX25" i="9" s="1"/>
  <c r="HM25" i="9" s="1"/>
  <c r="FX49" i="9"/>
  <c r="HM49" i="9" s="1"/>
  <c r="DP31" i="9"/>
  <c r="FX31" i="9" s="1"/>
  <c r="HM31" i="9" s="1"/>
  <c r="FZ47" i="9"/>
  <c r="HO47" i="9" s="1"/>
  <c r="DR29" i="9"/>
  <c r="FZ29" i="9" s="1"/>
  <c r="HO29" i="9" s="1"/>
  <c r="FY45" i="9"/>
  <c r="HN45" i="9" s="1"/>
  <c r="DQ27" i="9"/>
  <c r="FY27" i="9" s="1"/>
  <c r="HN27" i="9" s="1"/>
  <c r="FY50" i="9"/>
  <c r="HN50" i="9" s="1"/>
  <c r="DQ32" i="9"/>
  <c r="FY32" i="9" s="1"/>
  <c r="HN32" i="9" s="1"/>
  <c r="BY78" i="9"/>
  <c r="BY79" i="9"/>
  <c r="BY84" i="9"/>
  <c r="BY81" i="9"/>
  <c r="BY80" i="9"/>
  <c r="BY83" i="9"/>
  <c r="BY82" i="9"/>
  <c r="BY85" i="9"/>
  <c r="CZ57" i="9"/>
  <c r="FH57" i="9" s="1"/>
  <c r="GW57" i="9" s="1"/>
  <c r="DL63" i="9"/>
  <c r="FT63" i="9" s="1"/>
  <c r="HI63" i="9" s="1"/>
  <c r="DD62" i="9"/>
  <c r="FL62" i="9" s="1"/>
  <c r="HA62" i="9" s="1"/>
  <c r="DA57" i="9"/>
  <c r="FI57" i="9" s="1"/>
  <c r="GX57" i="9" s="1"/>
  <c r="DG63" i="9"/>
  <c r="FO63" i="9" s="1"/>
  <c r="HD63" i="9" s="1"/>
  <c r="DD57" i="9"/>
  <c r="FL57" i="9" s="1"/>
  <c r="HA57" i="9" s="1"/>
  <c r="DJ65" i="9"/>
  <c r="FR65" i="9" s="1"/>
  <c r="HG65" i="9" s="1"/>
  <c r="DL58" i="9"/>
  <c r="FT58" i="9" s="1"/>
  <c r="HI58" i="9" s="1"/>
  <c r="DI57" i="9"/>
  <c r="FQ57" i="9" s="1"/>
  <c r="HF57" i="9" s="1"/>
  <c r="DD63" i="9"/>
  <c r="FL63" i="9" s="1"/>
  <c r="HA63" i="9" s="1"/>
  <c r="DE63" i="9"/>
  <c r="FM63" i="9" s="1"/>
  <c r="HB63" i="9" s="1"/>
  <c r="DG62" i="9"/>
  <c r="FO62" i="9" s="1"/>
  <c r="HD62" i="9" s="1"/>
  <c r="DB63" i="9"/>
  <c r="DA61" i="9"/>
  <c r="FI61" i="9" s="1"/>
  <c r="GX61" i="9" s="1"/>
  <c r="DH57" i="9"/>
  <c r="FP57" i="9" s="1"/>
  <c r="HE57" i="9" s="1"/>
  <c r="CZ61" i="9"/>
  <c r="FH61" i="9" s="1"/>
  <c r="GW61" i="9" s="1"/>
  <c r="DI61" i="9"/>
  <c r="FQ61" i="9" s="1"/>
  <c r="HF61" i="9" s="1"/>
  <c r="CY64" i="9"/>
  <c r="FG64" i="9" s="1"/>
  <c r="GV64" i="9" s="1"/>
  <c r="CZ65" i="9"/>
  <c r="FH65" i="9" s="1"/>
  <c r="GW65" i="9" s="1"/>
  <c r="DB60" i="9"/>
  <c r="DC60" i="9"/>
  <c r="FK60" i="9" s="1"/>
  <c r="GZ60" i="9" s="1"/>
  <c r="DG61" i="9"/>
  <c r="FO61" i="9" s="1"/>
  <c r="HD61" i="9" s="1"/>
  <c r="DG65" i="9"/>
  <c r="FO65" i="9" s="1"/>
  <c r="HD65" i="9" s="1"/>
  <c r="DE59" i="9"/>
  <c r="FM59" i="9" s="1"/>
  <c r="HB59" i="9" s="1"/>
  <c r="DB65" i="9"/>
  <c r="CY60" i="9"/>
  <c r="FG60" i="9" s="1"/>
  <c r="GV60" i="9" s="1"/>
  <c r="DB57" i="9"/>
  <c r="DK65" i="9"/>
  <c r="FS65" i="9" s="1"/>
  <c r="HH65" i="9" s="1"/>
  <c r="DG60" i="9"/>
  <c r="FO60" i="9" s="1"/>
  <c r="HD60" i="9" s="1"/>
  <c r="DC58" i="9"/>
  <c r="FK58" i="9" s="1"/>
  <c r="GZ58" i="9" s="1"/>
  <c r="DD58" i="9"/>
  <c r="FL58" i="9" s="1"/>
  <c r="HA58" i="9" s="1"/>
  <c r="DL62" i="9"/>
  <c r="FT62" i="9" s="1"/>
  <c r="HI62" i="9" s="1"/>
  <c r="DC57" i="9"/>
  <c r="FK57" i="9" s="1"/>
  <c r="GZ57" i="9" s="1"/>
  <c r="DB61" i="9"/>
  <c r="DA58" i="9"/>
  <c r="FI58" i="9" s="1"/>
  <c r="GX58" i="9" s="1"/>
  <c r="DF57" i="9"/>
  <c r="FN57" i="9" s="1"/>
  <c r="HC57" i="9" s="1"/>
  <c r="DB59" i="9"/>
  <c r="CZ64" i="9"/>
  <c r="FH64" i="9" s="1"/>
  <c r="GW64" i="9" s="1"/>
  <c r="DC63" i="9"/>
  <c r="FK63" i="9" s="1"/>
  <c r="GZ63" i="9" s="1"/>
  <c r="DD65" i="9"/>
  <c r="FL65" i="9" s="1"/>
  <c r="HA65" i="9" s="1"/>
  <c r="CY59" i="9"/>
  <c r="FG59" i="9" s="1"/>
  <c r="GV59" i="9" s="1"/>
  <c r="DH61" i="9"/>
  <c r="FP61" i="9" s="1"/>
  <c r="HE61" i="9" s="1"/>
  <c r="DA65" i="9"/>
  <c r="FI65" i="9" s="1"/>
  <c r="GX65" i="9" s="1"/>
  <c r="DG59" i="9"/>
  <c r="FO59" i="9" s="1"/>
  <c r="HD59" i="9" s="1"/>
  <c r="DK62" i="9"/>
  <c r="FS62" i="9" s="1"/>
  <c r="HH62" i="9" s="1"/>
  <c r="DL57" i="9"/>
  <c r="FT57" i="9" s="1"/>
  <c r="HI57" i="9" s="1"/>
  <c r="DH59" i="9"/>
  <c r="FP59" i="9" s="1"/>
  <c r="HE59" i="9" s="1"/>
  <c r="DI60" i="9"/>
  <c r="FQ60" i="9" s="1"/>
  <c r="HF60" i="9" s="1"/>
  <c r="DK58" i="9"/>
  <c r="FS58" i="9" s="1"/>
  <c r="HH58" i="9" s="1"/>
  <c r="DK63" i="9"/>
  <c r="FS63" i="9" s="1"/>
  <c r="HH63" i="9" s="1"/>
  <c r="CY61" i="9"/>
  <c r="FG61" i="9" s="1"/>
  <c r="GV61" i="9" s="1"/>
  <c r="CZ60" i="9"/>
  <c r="FH60" i="9" s="1"/>
  <c r="GW60" i="9" s="1"/>
  <c r="DF60" i="9"/>
  <c r="FN60" i="9" s="1"/>
  <c r="HC60" i="9" s="1"/>
  <c r="DC62" i="9"/>
  <c r="FK62" i="9" s="1"/>
  <c r="GZ62" i="9" s="1"/>
  <c r="DL64" i="9"/>
  <c r="FT64" i="9" s="1"/>
  <c r="HI64" i="9" s="1"/>
  <c r="DI59" i="9"/>
  <c r="FQ59" i="9" s="1"/>
  <c r="HF59" i="9" s="1"/>
  <c r="DA64" i="9"/>
  <c r="FI64" i="9" s="1"/>
  <c r="GX64" i="9" s="1"/>
  <c r="DB58" i="9"/>
  <c r="DE61" i="9"/>
  <c r="FM61" i="9" s="1"/>
  <c r="HB61" i="9" s="1"/>
  <c r="DK57" i="9"/>
  <c r="FS57" i="9" s="1"/>
  <c r="HH57" i="9" s="1"/>
  <c r="DE62" i="9"/>
  <c r="FM62" i="9" s="1"/>
  <c r="HB62" i="9" s="1"/>
  <c r="DA63" i="9"/>
  <c r="FI63" i="9" s="1"/>
  <c r="GX63" i="9" s="1"/>
  <c r="DC65" i="9"/>
  <c r="FK65" i="9" s="1"/>
  <c r="GZ65" i="9" s="1"/>
  <c r="DF59" i="9"/>
  <c r="FN59" i="9" s="1"/>
  <c r="HC59" i="9" s="1"/>
  <c r="DF62" i="9"/>
  <c r="FN62" i="9" s="1"/>
  <c r="HC62" i="9" s="1"/>
  <c r="DG64" i="9"/>
  <c r="FO64" i="9" s="1"/>
  <c r="HD64" i="9" s="1"/>
  <c r="DC64" i="9"/>
  <c r="FK64" i="9" s="1"/>
  <c r="GZ64" i="9" s="1"/>
  <c r="DF64" i="9"/>
  <c r="FN64" i="9" s="1"/>
  <c r="HC64" i="9" s="1"/>
  <c r="DD60" i="9"/>
  <c r="FL60" i="9" s="1"/>
  <c r="HA60" i="9" s="1"/>
  <c r="DJ63" i="9"/>
  <c r="FR63" i="9" s="1"/>
  <c r="HG63" i="9" s="1"/>
  <c r="DJ57" i="9"/>
  <c r="FR57" i="9" s="1"/>
  <c r="HG57" i="9" s="1"/>
  <c r="DK64" i="9"/>
  <c r="FS64" i="9" s="1"/>
  <c r="HH64" i="9" s="1"/>
  <c r="DB62" i="9"/>
  <c r="DE58" i="9"/>
  <c r="FM58" i="9" s="1"/>
  <c r="HB58" i="9" s="1"/>
  <c r="DG57" i="9"/>
  <c r="FO57" i="9" s="1"/>
  <c r="HD57" i="9" s="1"/>
  <c r="DJ59" i="9"/>
  <c r="FR59" i="9" s="1"/>
  <c r="HG59" i="9" s="1"/>
  <c r="DH60" i="9"/>
  <c r="FP60" i="9" s="1"/>
  <c r="HE60" i="9" s="1"/>
  <c r="DI58" i="9"/>
  <c r="FQ58" i="9" s="1"/>
  <c r="HF58" i="9" s="1"/>
  <c r="DI65" i="9"/>
  <c r="FQ65" i="9" s="1"/>
  <c r="HF65" i="9" s="1"/>
  <c r="DH64" i="9"/>
  <c r="FP64" i="9" s="1"/>
  <c r="HE64" i="9" s="1"/>
  <c r="DF61" i="9"/>
  <c r="FN61" i="9" s="1"/>
  <c r="HC61" i="9" s="1"/>
  <c r="CY57" i="9"/>
  <c r="DD61" i="9"/>
  <c r="FL61" i="9" s="1"/>
  <c r="HA61" i="9" s="1"/>
  <c r="DE60" i="9"/>
  <c r="FM60" i="9" s="1"/>
  <c r="HB60" i="9" s="1"/>
  <c r="DE57" i="9"/>
  <c r="FM57" i="9" s="1"/>
  <c r="HB57" i="9" s="1"/>
  <c r="CZ59" i="9"/>
  <c r="FH59" i="9" s="1"/>
  <c r="GW59" i="9" s="1"/>
  <c r="DJ64" i="9"/>
  <c r="FR64" i="9" s="1"/>
  <c r="HG64" i="9" s="1"/>
  <c r="DK60" i="9"/>
  <c r="FS60" i="9" s="1"/>
  <c r="HH60" i="9" s="1"/>
  <c r="DH58" i="9"/>
  <c r="FP58" i="9" s="1"/>
  <c r="HE58" i="9" s="1"/>
  <c r="DJ60" i="9"/>
  <c r="FR60" i="9" s="1"/>
  <c r="HG60" i="9" s="1"/>
  <c r="DL60" i="9"/>
  <c r="FT60" i="9" s="1"/>
  <c r="HI60" i="9" s="1"/>
  <c r="DK61" i="9"/>
  <c r="FS61" i="9" s="1"/>
  <c r="HH61" i="9" s="1"/>
  <c r="CZ62" i="9"/>
  <c r="FH62" i="9" s="1"/>
  <c r="GW62" i="9" s="1"/>
  <c r="DC59" i="9"/>
  <c r="FK59" i="9" s="1"/>
  <c r="GZ59" i="9" s="1"/>
  <c r="DH62" i="9"/>
  <c r="FP62" i="9" s="1"/>
  <c r="HE62" i="9" s="1"/>
  <c r="DG58" i="9"/>
  <c r="FO58" i="9" s="1"/>
  <c r="HD58" i="9" s="1"/>
  <c r="DJ61" i="9"/>
  <c r="FR61" i="9" s="1"/>
  <c r="HG61" i="9" s="1"/>
  <c r="DD59" i="9"/>
  <c r="FL59" i="9" s="1"/>
  <c r="HA59" i="9" s="1"/>
  <c r="DK59" i="9"/>
  <c r="FS59" i="9" s="1"/>
  <c r="HH59" i="9" s="1"/>
  <c r="CY65" i="9"/>
  <c r="FG65" i="9" s="1"/>
  <c r="GV65" i="9" s="1"/>
  <c r="CZ63" i="9"/>
  <c r="FH63" i="9" s="1"/>
  <c r="GW63" i="9" s="1"/>
  <c r="DE64" i="9"/>
  <c r="FM64" i="9" s="1"/>
  <c r="HB64" i="9" s="1"/>
  <c r="CY63" i="9"/>
  <c r="FG63" i="9" s="1"/>
  <c r="GV63" i="9" s="1"/>
  <c r="DF63" i="9"/>
  <c r="FN63" i="9" s="1"/>
  <c r="HC63" i="9" s="1"/>
  <c r="DL59" i="9"/>
  <c r="FT59" i="9" s="1"/>
  <c r="HI59" i="9" s="1"/>
  <c r="DF65" i="9"/>
  <c r="FN65" i="9" s="1"/>
  <c r="HC65" i="9" s="1"/>
  <c r="DC61" i="9"/>
  <c r="FK61" i="9" s="1"/>
  <c r="GZ61" i="9" s="1"/>
  <c r="DA60" i="9"/>
  <c r="FI60" i="9" s="1"/>
  <c r="GX60" i="9" s="1"/>
  <c r="DH63" i="9"/>
  <c r="FP63" i="9" s="1"/>
  <c r="HE63" i="9" s="1"/>
  <c r="DI63" i="9"/>
  <c r="FQ63" i="9" s="1"/>
  <c r="HF63" i="9" s="1"/>
  <c r="DA59" i="9"/>
  <c r="FI59" i="9" s="1"/>
  <c r="GX59" i="9" s="1"/>
  <c r="DI64" i="9"/>
  <c r="FQ64" i="9" s="1"/>
  <c r="HF64" i="9" s="1"/>
  <c r="DA62" i="9"/>
  <c r="FI62" i="9" s="1"/>
  <c r="GX62" i="9" s="1"/>
  <c r="DB64" i="9"/>
  <c r="DF58" i="9"/>
  <c r="FN58" i="9" s="1"/>
  <c r="HC58" i="9" s="1"/>
  <c r="CY62" i="9"/>
  <c r="FG62" i="9" s="1"/>
  <c r="GV62" i="9" s="1"/>
  <c r="DL61" i="9"/>
  <c r="FT61" i="9" s="1"/>
  <c r="HI61" i="9" s="1"/>
  <c r="DL65" i="9"/>
  <c r="FT65" i="9" s="1"/>
  <c r="HI65" i="9" s="1"/>
  <c r="DI62" i="9"/>
  <c r="FQ62" i="9" s="1"/>
  <c r="HF62" i="9" s="1"/>
  <c r="DJ58" i="9"/>
  <c r="FR58" i="9" s="1"/>
  <c r="HG58" i="9" s="1"/>
  <c r="CY58" i="9"/>
  <c r="FG58" i="9" s="1"/>
  <c r="GV58" i="9" s="1"/>
  <c r="DD64" i="9"/>
  <c r="FL64" i="9" s="1"/>
  <c r="HA64" i="9" s="1"/>
  <c r="DE65" i="9"/>
  <c r="FM65" i="9" s="1"/>
  <c r="HB65" i="9" s="1"/>
  <c r="CZ58" i="9"/>
  <c r="FH58" i="9" s="1"/>
  <c r="GW58" i="9" s="1"/>
  <c r="DJ62" i="9"/>
  <c r="FR62" i="9" s="1"/>
  <c r="HG62" i="9" s="1"/>
  <c r="EB39" i="9"/>
  <c r="GK39" i="9" s="1"/>
  <c r="HZ39" i="9" s="1"/>
  <c r="ED51" i="9"/>
  <c r="GM51" i="9" s="1"/>
  <c r="IB51" i="9" s="1"/>
  <c r="ED43" i="9"/>
  <c r="GM43" i="9" s="1"/>
  <c r="IB43" i="9" s="1"/>
  <c r="ED42" i="9"/>
  <c r="GM42" i="9" s="1"/>
  <c r="IB42" i="9" s="1"/>
  <c r="EB41" i="9"/>
  <c r="GK41" i="9" s="1"/>
  <c r="HZ41" i="9" s="1"/>
  <c r="ED40" i="9"/>
  <c r="GM40" i="9" s="1"/>
  <c r="IB40" i="9" s="1"/>
  <c r="EC47" i="9"/>
  <c r="GL47" i="9" s="1"/>
  <c r="IA47" i="9" s="1"/>
  <c r="ED45" i="9"/>
  <c r="GM45" i="9" s="1"/>
  <c r="IB45" i="9" s="1"/>
  <c r="EB52" i="9"/>
  <c r="GK52" i="9" s="1"/>
  <c r="HZ52" i="9" s="1"/>
  <c r="EC51" i="9"/>
  <c r="GL51" i="9" s="1"/>
  <c r="IA51" i="9" s="1"/>
  <c r="EC43" i="9"/>
  <c r="GL43" i="9" s="1"/>
  <c r="IA43" i="9" s="1"/>
  <c r="EC49" i="9"/>
  <c r="GL49" i="9" s="1"/>
  <c r="IA49" i="9" s="1"/>
  <c r="ED41" i="9"/>
  <c r="GM41" i="9" s="1"/>
  <c r="IB41" i="9" s="1"/>
  <c r="ED50" i="9"/>
  <c r="GM50" i="9" s="1"/>
  <c r="IB50" i="9" s="1"/>
  <c r="EB51" i="9"/>
  <c r="GK51" i="9" s="1"/>
  <c r="HZ51" i="9" s="1"/>
  <c r="EB43" i="9"/>
  <c r="GK43" i="9" s="1"/>
  <c r="HZ43" i="9" s="1"/>
  <c r="EC50" i="9"/>
  <c r="GL50" i="9" s="1"/>
  <c r="IA50" i="9" s="1"/>
  <c r="EC42" i="9"/>
  <c r="GL42" i="9" s="1"/>
  <c r="IA42" i="9" s="1"/>
  <c r="EB49" i="9"/>
  <c r="GK49" i="9" s="1"/>
  <c r="HZ49" i="9" s="1"/>
  <c r="EB50" i="9"/>
  <c r="GK50" i="9" s="1"/>
  <c r="HZ50" i="9" s="1"/>
  <c r="EB42" i="9"/>
  <c r="GK42" i="9" s="1"/>
  <c r="HZ42" i="9" s="1"/>
  <c r="ED48" i="9"/>
  <c r="GM48" i="9" s="1"/>
  <c r="IB48" i="9" s="1"/>
  <c r="EC40" i="9"/>
  <c r="GL40" i="9" s="1"/>
  <c r="IA40" i="9" s="1"/>
  <c r="ED49" i="9"/>
  <c r="GM49" i="9" s="1"/>
  <c r="IB49" i="9" s="1"/>
  <c r="ED47" i="9"/>
  <c r="GM47" i="9" s="1"/>
  <c r="IB47" i="9" s="1"/>
  <c r="EB47" i="9"/>
  <c r="GK47" i="9" s="1"/>
  <c r="HZ47" i="9" s="1"/>
  <c r="EC48" i="9"/>
  <c r="GL48" i="9" s="1"/>
  <c r="IA48" i="9" s="1"/>
  <c r="ED46" i="9"/>
  <c r="GM46" i="9" s="1"/>
  <c r="IB46" i="9" s="1"/>
  <c r="EC46" i="9"/>
  <c r="GL46" i="9" s="1"/>
  <c r="IA46" i="9" s="1"/>
  <c r="EC45" i="9"/>
  <c r="GL45" i="9" s="1"/>
  <c r="IA45" i="9" s="1"/>
  <c r="EB48" i="9"/>
  <c r="GK48" i="9" s="1"/>
  <c r="HZ48" i="9" s="1"/>
  <c r="ED44" i="9"/>
  <c r="GM44" i="9" s="1"/>
  <c r="IB44" i="9" s="1"/>
  <c r="ED52" i="9"/>
  <c r="GM52" i="9" s="1"/>
  <c r="IB52" i="9" s="1"/>
  <c r="EC41" i="9"/>
  <c r="GL41" i="9" s="1"/>
  <c r="IA41" i="9" s="1"/>
  <c r="ED39" i="9"/>
  <c r="GM39" i="9" s="1"/>
  <c r="IB39" i="9" s="1"/>
  <c r="EC39" i="9"/>
  <c r="GL39" i="9" s="1"/>
  <c r="IA39" i="9" s="1"/>
  <c r="EB40" i="9"/>
  <c r="GK40" i="9" s="1"/>
  <c r="HZ40" i="9" s="1"/>
  <c r="EC44" i="9"/>
  <c r="GL44" i="9" s="1"/>
  <c r="IA44" i="9" s="1"/>
  <c r="EB45" i="9"/>
  <c r="GK45" i="9" s="1"/>
  <c r="HZ45" i="9" s="1"/>
  <c r="EB46" i="9"/>
  <c r="GK46" i="9" s="1"/>
  <c r="HZ46" i="9" s="1"/>
  <c r="EB44" i="9"/>
  <c r="GK44" i="9" s="1"/>
  <c r="HZ44" i="9" s="1"/>
  <c r="EC52" i="9"/>
  <c r="GL52" i="9" s="1"/>
  <c r="IA52" i="9" s="1"/>
  <c r="DR28" i="9" l="1"/>
  <c r="FZ28" i="9" s="1"/>
  <c r="HO28" i="9" s="1"/>
  <c r="FZ10" i="9"/>
  <c r="HO10" i="9" s="1"/>
  <c r="DQ28" i="9"/>
  <c r="FY28" i="9" s="1"/>
  <c r="HN28" i="9" s="1"/>
  <c r="FY10" i="9"/>
  <c r="HN10" i="9" s="1"/>
  <c r="EI16" i="9"/>
  <c r="GQ16" i="9" s="1"/>
  <c r="IF16" i="9" s="1"/>
  <c r="GE16" i="9"/>
  <c r="HT16" i="9" s="1"/>
  <c r="EH7" i="9"/>
  <c r="GP7" i="9" s="1"/>
  <c r="IE7" i="9" s="1"/>
  <c r="GD7" i="9"/>
  <c r="HS7" i="9" s="1"/>
  <c r="DW28" i="9"/>
  <c r="GE28" i="9" s="1"/>
  <c r="HT28" i="9" s="1"/>
  <c r="GE10" i="9"/>
  <c r="HT10" i="9" s="1"/>
  <c r="DX26" i="9"/>
  <c r="GF26" i="9" s="1"/>
  <c r="HU26" i="9" s="1"/>
  <c r="GF8" i="9"/>
  <c r="HU8" i="9" s="1"/>
  <c r="DV26" i="9"/>
  <c r="GD26" i="9" s="1"/>
  <c r="HS26" i="9" s="1"/>
  <c r="GD8" i="9"/>
  <c r="HS8" i="9" s="1"/>
  <c r="EG8" i="9"/>
  <c r="GO8" i="9" s="1"/>
  <c r="ID8" i="9" s="1"/>
  <c r="GC8" i="9"/>
  <c r="HR8" i="9" s="1"/>
  <c r="DR26" i="9"/>
  <c r="FZ26" i="9" s="1"/>
  <c r="HO26" i="9" s="1"/>
  <c r="FZ8" i="9"/>
  <c r="HO8" i="9" s="1"/>
  <c r="EE8" i="9"/>
  <c r="GM8" i="9" s="1"/>
  <c r="IB8" i="9" s="1"/>
  <c r="GA8" i="9"/>
  <c r="HP8" i="9" s="1"/>
  <c r="DP26" i="9"/>
  <c r="FX26" i="9" s="1"/>
  <c r="HM26" i="9" s="1"/>
  <c r="EB8" i="9"/>
  <c r="GJ8" i="9" s="1"/>
  <c r="HY8" i="9" s="1"/>
  <c r="DS26" i="9"/>
  <c r="GA26" i="9" s="1"/>
  <c r="HP26" i="9" s="1"/>
  <c r="DW26" i="9"/>
  <c r="GE26" i="9" s="1"/>
  <c r="HT26" i="9" s="1"/>
  <c r="EI8" i="9"/>
  <c r="GQ8" i="9" s="1"/>
  <c r="IF8" i="9" s="1"/>
  <c r="DT26" i="9"/>
  <c r="GB26" i="9" s="1"/>
  <c r="HQ26" i="9" s="1"/>
  <c r="EF8" i="9"/>
  <c r="GN8" i="9" s="1"/>
  <c r="IC8" i="9" s="1"/>
  <c r="DS28" i="9"/>
  <c r="GA28" i="9" s="1"/>
  <c r="HP28" i="9" s="1"/>
  <c r="EE10" i="9"/>
  <c r="GM10" i="9" s="1"/>
  <c r="IB10" i="9" s="1"/>
  <c r="DP22" i="9"/>
  <c r="FX22" i="9" s="1"/>
  <c r="HM22" i="9" s="1"/>
  <c r="EB4" i="9"/>
  <c r="GJ4" i="9" s="1"/>
  <c r="HY4" i="9" s="1"/>
  <c r="DX28" i="9"/>
  <c r="GF28" i="9" s="1"/>
  <c r="HU28" i="9" s="1"/>
  <c r="EJ10" i="9"/>
  <c r="GR10" i="9" s="1"/>
  <c r="IG10" i="9" s="1"/>
  <c r="DP28" i="9"/>
  <c r="FX28" i="9" s="1"/>
  <c r="HM28" i="9" s="1"/>
  <c r="EB10" i="9"/>
  <c r="GJ10" i="9" s="1"/>
  <c r="HY10" i="9" s="1"/>
  <c r="DU28" i="9"/>
  <c r="GC28" i="9" s="1"/>
  <c r="HR28" i="9" s="1"/>
  <c r="EG10" i="9"/>
  <c r="GO10" i="9" s="1"/>
  <c r="ID10" i="9" s="1"/>
  <c r="DT28" i="9"/>
  <c r="GB28" i="9" s="1"/>
  <c r="HQ28" i="9" s="1"/>
  <c r="EF10" i="9"/>
  <c r="GN10" i="9" s="1"/>
  <c r="IC10" i="9" s="1"/>
  <c r="DV28" i="9"/>
  <c r="GD28" i="9" s="1"/>
  <c r="HS28" i="9" s="1"/>
  <c r="EH10" i="9"/>
  <c r="GP10" i="9" s="1"/>
  <c r="IE10" i="9" s="1"/>
  <c r="DU23" i="9"/>
  <c r="GC23" i="9" s="1"/>
  <c r="HR23" i="9" s="1"/>
  <c r="EG5" i="9"/>
  <c r="GO5" i="9" s="1"/>
  <c r="ID5" i="9" s="1"/>
  <c r="DQ26" i="9"/>
  <c r="FY26" i="9" s="1"/>
  <c r="HN26" i="9" s="1"/>
  <c r="EC8" i="9"/>
  <c r="GK8" i="9" s="1"/>
  <c r="HZ8" i="9" s="1"/>
  <c r="DS32" i="9"/>
  <c r="GA32" i="9" s="1"/>
  <c r="HP32" i="9" s="1"/>
  <c r="EE14" i="9"/>
  <c r="GM14" i="9" s="1"/>
  <c r="IB14" i="9" s="1"/>
  <c r="FG57" i="9"/>
  <c r="EN77" i="9" a="1"/>
  <c r="GV57" i="9" l="1"/>
  <c r="EN77" i="9"/>
  <c r="FC77" i="9" s="1"/>
  <c r="FC85" i="9"/>
  <c r="FJ65" i="9" s="1"/>
  <c r="GY65" i="9" s="1"/>
  <c r="FC81" i="9"/>
  <c r="FJ61" i="9" s="1"/>
  <c r="GY61" i="9" s="1"/>
  <c r="FC79" i="9"/>
  <c r="FJ59" i="9" s="1"/>
  <c r="GY59" i="9" s="1"/>
  <c r="FC84" i="9"/>
  <c r="FJ64" i="9" s="1"/>
  <c r="GY64" i="9" s="1"/>
  <c r="FC80" i="9"/>
  <c r="FJ60" i="9" s="1"/>
  <c r="GY60" i="9" s="1"/>
  <c r="FC78" i="9"/>
  <c r="FJ58" i="9" s="1"/>
  <c r="GY58" i="9" s="1"/>
  <c r="FC83" i="9"/>
  <c r="FJ63" i="9" s="1"/>
  <c r="GY63" i="9" s="1"/>
  <c r="FC82" i="9"/>
  <c r="FJ62" i="9" s="1"/>
  <c r="GY62" i="9" s="1"/>
  <c r="FJ57" i="9" l="1"/>
  <c r="GJ42" i="9"/>
  <c r="HY42" i="9" s="1"/>
  <c r="GY57" i="9" l="1"/>
  <c r="FG77" i="9" a="1"/>
  <c r="FG77" i="9" l="1"/>
  <c r="FV77" i="9" s="1"/>
  <c r="FV85" i="9"/>
  <c r="FV79" i="9"/>
  <c r="FV78" i="9"/>
  <c r="FV84" i="9"/>
  <c r="FV82" i="9"/>
  <c r="FV83" i="9"/>
  <c r="FV80" i="9"/>
  <c r="FV81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<sst xmlns="http://schemas.openxmlformats.org/spreadsheetml/2006/main" count="1157" uniqueCount="70">
  <si>
    <t>ktoe</t>
  </si>
  <si>
    <t>Crude dist.</t>
  </si>
  <si>
    <t>Diesel dist.</t>
  </si>
  <si>
    <t>Elect. grid</t>
  </si>
  <si>
    <t>Gas wells &amp; proc.</t>
  </si>
  <si>
    <t>NG dist.</t>
  </si>
  <si>
    <t>Oil fields</t>
  </si>
  <si>
    <t>Oil refineries</t>
  </si>
  <si>
    <t>Petrol dist.</t>
  </si>
  <si>
    <t>Power plants</t>
  </si>
  <si>
    <t>Crude</t>
  </si>
  <si>
    <t>Crude [from Dist.]</t>
  </si>
  <si>
    <t>Crude [from Fields]</t>
  </si>
  <si>
    <t>Diesel</t>
  </si>
  <si>
    <t>Diesel [from Dist.]</t>
  </si>
  <si>
    <t>Elect</t>
  </si>
  <si>
    <t>Elect [from Grid]</t>
  </si>
  <si>
    <t>NG</t>
  </si>
  <si>
    <t>NG [from Dist.]</t>
  </si>
  <si>
    <t>NG [from Wells]</t>
  </si>
  <si>
    <t>Petrol</t>
  </si>
  <si>
    <t>Petrol [from Dist.]</t>
  </si>
  <si>
    <t>S_units</t>
  </si>
  <si>
    <t>U_EIOU</t>
  </si>
  <si>
    <t>r_EIOU</t>
  </si>
  <si>
    <t>U_feed</t>
  </si>
  <si>
    <t>Transport</t>
  </si>
  <si>
    <t>Residential</t>
  </si>
  <si>
    <t>U</t>
  </si>
  <si>
    <t>Y</t>
  </si>
  <si>
    <t>V</t>
  </si>
  <si>
    <t>Resources [of Crude]</t>
  </si>
  <si>
    <t>Resources [of NG]</t>
  </si>
  <si>
    <t>R</t>
  </si>
  <si>
    <t>Destroyed exergy</t>
  </si>
  <si>
    <t>MTH.200.C -&gt; Transformation losses</t>
  </si>
  <si>
    <t>Transformation losses</t>
  </si>
  <si>
    <t>This tab starts with the E_Final_2000 information and calculates losses, exergy, and exergy destruction.</t>
  </si>
  <si>
    <r>
      <t>U</t>
    </r>
    <r>
      <rPr>
        <b/>
        <vertAlign val="superscript"/>
        <sz val="11"/>
        <color rgb="FF000000"/>
        <rFont val="Aptos Narrow"/>
      </rPr>
      <t>T</t>
    </r>
    <r>
      <rPr>
        <sz val="11"/>
        <color rgb="FF000000"/>
        <rFont val="Aptos Narrow"/>
      </rPr>
      <t xml:space="preserve"> – </t>
    </r>
    <r>
      <rPr>
        <b/>
        <sz val="11"/>
        <color rgb="FF000000"/>
        <rFont val="Aptos Narrow"/>
      </rPr>
      <t>V</t>
    </r>
  </si>
  <si>
    <r>
      <rPr>
        <sz val="11"/>
        <color rgb="FF000000"/>
        <rFont val="Aptos Narrow"/>
      </rPr>
      <t>(</t>
    </r>
    <r>
      <rPr>
        <b/>
        <sz val="11"/>
        <color rgb="FF000000"/>
        <rFont val="Aptos Narrow"/>
      </rPr>
      <t>U</t>
    </r>
    <r>
      <rPr>
        <b/>
        <vertAlign val="superscript"/>
        <sz val="11"/>
        <color rgb="FF000000"/>
        <rFont val="Aptos Narrow"/>
      </rPr>
      <t>T</t>
    </r>
    <r>
      <rPr>
        <sz val="11"/>
        <color rgb="FF000000"/>
        <rFont val="Aptos Narrow"/>
      </rPr>
      <t xml:space="preserve"> – </t>
    </r>
    <r>
      <rPr>
        <b/>
        <sz val="11"/>
        <color rgb="FF000000"/>
        <rFont val="Aptos Narrow"/>
      </rPr>
      <t>V</t>
    </r>
    <r>
      <rPr>
        <sz val="11"/>
        <color rgb="FF000000"/>
        <rFont val="Aptos Narrow"/>
      </rPr>
      <t>)</t>
    </r>
    <r>
      <rPr>
        <b/>
        <sz val="11"/>
        <color rgb="FF000000"/>
        <rFont val="Aptos Narrow"/>
      </rPr>
      <t>i</t>
    </r>
  </si>
  <si>
    <t>Energy losses</t>
  </si>
  <si>
    <t>Now includes waste heat</t>
  </si>
  <si>
    <t>Unchanged</t>
  </si>
  <si>
    <t>phi_hat</t>
  </si>
  <si>
    <t>Original ECC</t>
  </si>
  <si>
    <t>Calculate energy losses (waste heat)</t>
  </si>
  <si>
    <t>Endogenize energy losses (waste heat)</t>
  </si>
  <si>
    <t>Use for converting to exergy</t>
  </si>
  <si>
    <t>https://doi.org/10.1016/j.apenergy.2018.05.109</t>
  </si>
  <si>
    <t>Now in exergy terms</t>
  </si>
  <si>
    <t>Calculate exergy losses (irreversibility)</t>
  </si>
  <si>
    <t>Now includes destroyed exergy (irreversibilities)</t>
  </si>
  <si>
    <t>Irreversibilities</t>
  </si>
  <si>
    <t>Endogenize irreversibility (exergy destruction)</t>
  </si>
  <si>
    <t>Now includes destroyed exergy</t>
  </si>
  <si>
    <r>
      <t>R_Excel</t>
    </r>
    <r>
      <rPr>
        <sz val="11"/>
        <color rgb="FF000000"/>
        <rFont val="Aptos Narrow"/>
      </rPr>
      <t xml:space="preserve"> – </t>
    </r>
    <r>
      <rPr>
        <b/>
        <sz val="11"/>
        <color rgb="FF000000"/>
        <rFont val="Aptos Narrow"/>
      </rPr>
      <t>R_Recca</t>
    </r>
  </si>
  <si>
    <r>
      <t>V_Excel</t>
    </r>
    <r>
      <rPr>
        <sz val="11"/>
        <color rgb="FF000000"/>
        <rFont val="Aptos Narrow"/>
      </rPr>
      <t xml:space="preserve"> – </t>
    </r>
    <r>
      <rPr>
        <b/>
        <sz val="11"/>
        <color rgb="FF000000"/>
        <rFont val="Aptos Narrow"/>
      </rPr>
      <t>V_Recca</t>
    </r>
  </si>
  <si>
    <r>
      <t>U_Excel</t>
    </r>
    <r>
      <rPr>
        <sz val="11"/>
        <color rgb="FF000000"/>
        <rFont val="Aptos Narrow"/>
      </rPr>
      <t xml:space="preserve"> – </t>
    </r>
    <r>
      <rPr>
        <b/>
        <sz val="11"/>
        <color rgb="FF000000"/>
        <rFont val="Aptos Narrow"/>
      </rPr>
      <t>U_Recca</t>
    </r>
  </si>
  <si>
    <r>
      <t>Y_Excel</t>
    </r>
    <r>
      <rPr>
        <sz val="11"/>
        <color theme="1"/>
        <rFont val="Aptos Narrow"/>
        <scheme val="minor"/>
      </rPr>
      <t xml:space="preserve"> – </t>
    </r>
    <r>
      <rPr>
        <b/>
        <sz val="11"/>
        <color theme="1"/>
        <rFont val="Aptos Narrow"/>
        <scheme val="minor"/>
      </rPr>
      <t>Y_Recca</t>
    </r>
  </si>
  <si>
    <t>Verifies that itra-industry balance is observed after endogenizing losses</t>
  </si>
  <si>
    <t>Verifies that itra-industry balance is observed after endogenizing Destroyed exergy</t>
  </si>
  <si>
    <t>Then compares to results from Recca in X_Final_2000.</t>
  </si>
  <si>
    <t>Now for exergy (unchanged)</t>
  </si>
  <si>
    <r>
      <t>U_EROI_Excel</t>
    </r>
    <r>
      <rPr>
        <sz val="11"/>
        <color rgb="FF000000"/>
        <rFont val="Aptos Narrow"/>
      </rPr>
      <t xml:space="preserve"> – </t>
    </r>
    <r>
      <rPr>
        <b/>
        <sz val="11"/>
        <color rgb="FF000000"/>
        <rFont val="Aptos Narrow"/>
      </rPr>
      <t>U_EROI_Recca</t>
    </r>
  </si>
  <si>
    <r>
      <t>U_feed_Excel</t>
    </r>
    <r>
      <rPr>
        <sz val="11"/>
        <color rgb="FF000000"/>
        <rFont val="Aptos Narrow"/>
      </rPr>
      <t xml:space="preserve"> – </t>
    </r>
    <r>
      <rPr>
        <b/>
        <sz val="11"/>
        <color rgb="FF000000"/>
        <rFont val="Aptos Narrow"/>
      </rPr>
      <t>U_feed_Recca</t>
    </r>
  </si>
  <si>
    <r>
      <t>r_EROI_Excel</t>
    </r>
    <r>
      <rPr>
        <sz val="11"/>
        <color rgb="FF000000"/>
        <rFont val="Aptos Narrow"/>
      </rPr>
      <t xml:space="preserve"> – </t>
    </r>
    <r>
      <rPr>
        <b/>
        <sz val="11"/>
        <color rgb="FF000000"/>
        <rFont val="Aptos Narrow"/>
      </rPr>
      <t>r_EROI_Recca</t>
    </r>
  </si>
  <si>
    <t>Compare to Recca results</t>
  </si>
  <si>
    <t>Convert to exergy (XCC)</t>
  </si>
  <si>
    <t>Intra-industry balance gives transformation losses</t>
  </si>
  <si>
    <t>Intra-industry balance gives destroyed exergy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</si>
</sst>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</font>
    <font>
      <sz val="12"/>
      <color rgb="FF006100"/>
      <name val="Aptos Narrow"/>
      <family val="2"/>
      <scheme val="minor"/>
    </font>
    <font>
      <b/>
      <vertAlign val="superscript"/>
      <sz val="11"/>
      <color rgb="FF000000"/>
      <name val="Aptos Narrow"/>
    </font>
    <font>
      <sz val="11"/>
      <color rgb="FF000000"/>
      <name val="Aptos Narrow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48"/>
      <color theme="1"/>
      <name val="Aptos Narrow"/>
      <scheme val="minor"/>
    </font>
    <font>
      <b/>
      <sz val="72"/>
      <color theme="1"/>
      <name val="Aptos Narrow"/>
      <scheme val="minor"/>
    </font>
    <font>
      <sz val="11"/>
      <color rgb="FF006100"/>
      <name val="Aptos Narrow"/>
      <family val="2"/>
      <scheme val="minor"/>
    </font>
    <font>
      <sz val="11"/>
      <color rgb="FF0061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D3712D"/>
      </patternFill>
    </fill>
    <fill>
      <patternFill patternType="solid">
        <fgColor rgb="FFFDF2D0"/>
      </patternFill>
    </fill>
    <fill>
      <patternFill patternType="solid">
        <fgColor rgb="FFD9D9D9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5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 textRotation="90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6" fillId="0" borderId="0" xfId="0" applyFont="1" applyAlignment="1">
      <alignment horizontal="center"/>
    </xf>
    <xf numFmtId="0" fontId="0" fillId="7" borderId="0" xfId="0" applyFill="1"/>
    <xf numFmtId="0" fontId="1" fillId="7" borderId="0" xfId="0" applyFont="1" applyFill="1"/>
    <xf numFmtId="0" fontId="0" fillId="8" borderId="0" xfId="0" applyFill="1" applyAlignment="1">
      <alignment horizontal="center"/>
    </xf>
    <xf numFmtId="0" fontId="9" fillId="5" borderId="0" xfId="1" applyFont="1" applyAlignment="1">
      <alignment horizontal="center"/>
    </xf>
    <xf numFmtId="0" fontId="10" fillId="5" borderId="0" xfId="1" applyFont="1" applyAlignment="1">
      <alignment horizontal="center"/>
    </xf>
    <xf numFmtId="0" fontId="10" fillId="0" borderId="0" xfId="1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93133</xdr:colOff>
      <xdr:row>37</xdr:row>
      <xdr:rowOff>538543</xdr:rowOff>
    </xdr:from>
    <xdr:to>
      <xdr:col>10</xdr:col>
      <xdr:colOff>38100</xdr:colOff>
      <xdr:row>50</xdr:row>
      <xdr:rowOff>136586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824AAE-71E2-D703-42F1-468B4DFC5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133" y="10358364"/>
          <a:ext cx="7621663" cy="4099740"/>
        </a:xfrm>
        <a:prstGeom prst="rect">
          <a:avLst/>
        </a:prstGeom>
      </xdr:spPr>
    </xdr:pic>
    <xdr:clientData/>
  </xdr:twoCellAnchor>
  <xdr:twoCellAnchor editAs="oneCell">
    <xdr:from>
      <xdr:col>0</xdr:col>
      <xdr:colOff>177800</xdr:colOff>
      <xdr:row>22</xdr:row>
      <xdr:rowOff>136677</xdr:rowOff>
    </xdr:from>
    <xdr:to>
      <xdr:col>10</xdr:col>
      <xdr:colOff>194733</xdr:colOff>
      <xdr:row>37</xdr:row>
      <xdr:rowOff>435340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01557B-8817-080F-CA34-FF4AB7434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800" y="7064981"/>
          <a:ext cx="7693629" cy="3190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65"/>
  <sheetViews>
    <sheetView topLeftCell="A17" workbookViewId="0">
      <selection activeCell="AB33" sqref="AB33:AD45"/>
    </sheetView>
  </sheetViews>
  <sheetFormatPr baseColWidth="10" defaultColWidth="8.83203125" defaultRowHeight="15" x14ac:dyDescent="0.2"/>
  <cols>
    <col min="1" max="1" width="21.6640625" bestFit="1" customWidth="1"/>
    <col min="2" max="15" width="8.5"/>
    <col min="16" max="16" width="20.6640625" bestFit="1" customWidth="1"/>
    <col min="17" max="27" width="8.5"/>
    <col min="28" max="28" width="20.6640625" bestFit="1" customWidth="1"/>
  </cols>
  <sheetData>
    <row r="1" spans="1:37" ht="82" x14ac:dyDescent="0.2">
      <c r="B1" s="2" t="s">
        <v>0</v>
      </c>
      <c r="Q1" s="2" t="s">
        <v>1</v>
      </c>
      <c r="R1" s="2" t="s">
        <v>2</v>
      </c>
      <c r="S1" s="2" t="s">
        <v>3</v>
      </c>
      <c r="T1" s="2" t="s">
        <v>4</v>
      </c>
      <c r="U1" s="2" t="s">
        <v>5</v>
      </c>
      <c r="V1" s="2" t="s">
        <v>6</v>
      </c>
      <c r="W1" s="2" t="s">
        <v>7</v>
      </c>
      <c r="X1" s="2" t="s">
        <v>8</v>
      </c>
      <c r="Y1" s="2" t="s">
        <v>9</v>
      </c>
      <c r="AC1" s="2" t="s">
        <v>1</v>
      </c>
      <c r="AD1" s="2" t="s">
        <v>2</v>
      </c>
      <c r="AE1" s="2" t="s">
        <v>3</v>
      </c>
      <c r="AF1" s="2" t="s">
        <v>4</v>
      </c>
      <c r="AG1" s="2" t="s">
        <v>5</v>
      </c>
      <c r="AH1" s="2" t="s">
        <v>6</v>
      </c>
      <c r="AI1" s="2" t="s">
        <v>7</v>
      </c>
      <c r="AJ1" s="2" t="s">
        <v>8</v>
      </c>
      <c r="AK1" s="2" t="s">
        <v>9</v>
      </c>
    </row>
    <row r="2" spans="1:37" x14ac:dyDescent="0.2">
      <c r="A2" s="1" t="s">
        <v>10</v>
      </c>
      <c r="B2" s="6">
        <v>1</v>
      </c>
      <c r="P2" s="1" t="s">
        <v>10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AB2" s="1" t="s">
        <v>10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</row>
    <row r="3" spans="1:37" x14ac:dyDescent="0.2">
      <c r="A3" s="1" t="s">
        <v>11</v>
      </c>
      <c r="B3" s="6">
        <v>1</v>
      </c>
      <c r="P3" s="1" t="s">
        <v>11</v>
      </c>
      <c r="Q3" s="6">
        <v>500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AB3" s="1" t="s">
        <v>11</v>
      </c>
      <c r="AC3" s="6">
        <v>1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</row>
    <row r="4" spans="1:37" x14ac:dyDescent="0.2">
      <c r="A4" s="1" t="s">
        <v>12</v>
      </c>
      <c r="B4" s="6">
        <v>1</v>
      </c>
      <c r="P4" s="1" t="s">
        <v>12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2500</v>
      </c>
      <c r="W4" s="6">
        <v>0</v>
      </c>
      <c r="X4" s="6">
        <v>0</v>
      </c>
      <c r="Y4" s="6">
        <v>0</v>
      </c>
      <c r="AB4" s="1" t="s">
        <v>12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1</v>
      </c>
      <c r="AI4" s="6">
        <v>0</v>
      </c>
      <c r="AJ4" s="6">
        <v>0</v>
      </c>
      <c r="AK4" s="6">
        <v>0</v>
      </c>
    </row>
    <row r="5" spans="1:37" x14ac:dyDescent="0.2">
      <c r="A5" s="1" t="s">
        <v>13</v>
      </c>
      <c r="B5" s="6">
        <v>1</v>
      </c>
      <c r="P5" s="1" t="s">
        <v>13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5000</v>
      </c>
      <c r="X5" s="6">
        <v>0</v>
      </c>
      <c r="Y5" s="6">
        <v>0</v>
      </c>
      <c r="AB5" s="1" t="s">
        <v>13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1</v>
      </c>
      <c r="AJ5" s="6">
        <v>0</v>
      </c>
      <c r="AK5" s="6">
        <v>0</v>
      </c>
    </row>
    <row r="6" spans="1:37" x14ac:dyDescent="0.2">
      <c r="A6" s="1" t="s">
        <v>14</v>
      </c>
      <c r="B6" s="6">
        <v>1</v>
      </c>
      <c r="P6" s="1" t="s">
        <v>14</v>
      </c>
      <c r="Q6" s="6">
        <v>25</v>
      </c>
      <c r="R6" s="6">
        <v>350</v>
      </c>
      <c r="S6" s="6">
        <v>0</v>
      </c>
      <c r="T6" s="6">
        <v>50</v>
      </c>
      <c r="U6" s="6">
        <v>25</v>
      </c>
      <c r="V6" s="6">
        <v>50</v>
      </c>
      <c r="W6" s="6">
        <v>0</v>
      </c>
      <c r="X6" s="6">
        <v>250</v>
      </c>
      <c r="Y6" s="6">
        <v>0</v>
      </c>
      <c r="AB6" s="1" t="s">
        <v>14</v>
      </c>
      <c r="AC6" s="6">
        <v>1</v>
      </c>
      <c r="AD6" s="6">
        <v>1</v>
      </c>
      <c r="AE6" s="6">
        <v>0</v>
      </c>
      <c r="AF6" s="6">
        <v>1</v>
      </c>
      <c r="AG6" s="6">
        <v>1</v>
      </c>
      <c r="AH6" s="6">
        <v>1</v>
      </c>
      <c r="AI6" s="6">
        <v>0</v>
      </c>
      <c r="AJ6" s="6">
        <v>1</v>
      </c>
      <c r="AK6" s="6">
        <v>0</v>
      </c>
    </row>
    <row r="7" spans="1:37" x14ac:dyDescent="0.2">
      <c r="A7" s="1" t="s">
        <v>15</v>
      </c>
      <c r="B7" s="6">
        <v>1</v>
      </c>
      <c r="P7" s="1" t="s">
        <v>15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AB7" s="1" t="s">
        <v>15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</row>
    <row r="8" spans="1:37" x14ac:dyDescent="0.2">
      <c r="A8" s="1" t="s">
        <v>16</v>
      </c>
      <c r="B8" s="6">
        <v>1</v>
      </c>
      <c r="P8" s="1" t="s">
        <v>16</v>
      </c>
      <c r="Q8" s="6">
        <v>25</v>
      </c>
      <c r="R8" s="6">
        <v>0</v>
      </c>
      <c r="S8" s="6">
        <v>0</v>
      </c>
      <c r="T8" s="6">
        <v>25</v>
      </c>
      <c r="U8" s="6">
        <v>25</v>
      </c>
      <c r="V8" s="6">
        <v>25</v>
      </c>
      <c r="W8" s="6">
        <v>75</v>
      </c>
      <c r="X8" s="6">
        <v>0</v>
      </c>
      <c r="Y8" s="6">
        <v>100</v>
      </c>
      <c r="AB8" s="1" t="s">
        <v>16</v>
      </c>
      <c r="AC8" s="6">
        <v>1</v>
      </c>
      <c r="AD8" s="6">
        <v>0</v>
      </c>
      <c r="AE8" s="6">
        <v>0</v>
      </c>
      <c r="AF8" s="6">
        <v>1</v>
      </c>
      <c r="AG8" s="6">
        <v>1</v>
      </c>
      <c r="AH8" s="6">
        <v>1</v>
      </c>
      <c r="AI8" s="6">
        <v>1</v>
      </c>
      <c r="AJ8" s="6">
        <v>0</v>
      </c>
      <c r="AK8" s="6">
        <v>1</v>
      </c>
    </row>
    <row r="9" spans="1:37" x14ac:dyDescent="0.2">
      <c r="A9" s="1" t="s">
        <v>17</v>
      </c>
      <c r="B9" s="6">
        <v>1</v>
      </c>
      <c r="P9" s="1" t="s">
        <v>17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AB9" s="1" t="s">
        <v>17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</row>
    <row r="10" spans="1:37" x14ac:dyDescent="0.2">
      <c r="A10" s="1" t="s">
        <v>18</v>
      </c>
      <c r="B10" s="6">
        <v>1</v>
      </c>
      <c r="P10" s="1" t="s">
        <v>18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AB10" s="1" t="s">
        <v>18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</row>
    <row r="11" spans="1:37" x14ac:dyDescent="0.2">
      <c r="A11" s="1" t="s">
        <v>19</v>
      </c>
      <c r="B11" s="6">
        <v>1</v>
      </c>
      <c r="P11" s="1" t="s">
        <v>19</v>
      </c>
      <c r="Q11" s="6">
        <v>0</v>
      </c>
      <c r="R11" s="6">
        <v>0</v>
      </c>
      <c r="S11" s="6">
        <v>0</v>
      </c>
      <c r="T11" s="6">
        <v>2000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AB11" s="1" t="s">
        <v>19</v>
      </c>
      <c r="AC11" s="6">
        <v>0</v>
      </c>
      <c r="AD11" s="6">
        <v>0</v>
      </c>
      <c r="AE11" s="6">
        <v>0</v>
      </c>
      <c r="AF11" s="6">
        <v>1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</row>
    <row r="12" spans="1:37" x14ac:dyDescent="0.2">
      <c r="A12" s="1" t="s">
        <v>20</v>
      </c>
      <c r="B12" s="6">
        <v>1</v>
      </c>
      <c r="P12" s="1" t="s">
        <v>20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AB12" s="1" t="s">
        <v>20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</row>
    <row r="13" spans="1:37" x14ac:dyDescent="0.2">
      <c r="A13" s="1" t="s">
        <v>21</v>
      </c>
      <c r="B13" s="6">
        <v>1</v>
      </c>
      <c r="P13" s="1" t="s">
        <v>21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500</v>
      </c>
      <c r="Y13" s="6">
        <v>0</v>
      </c>
      <c r="AB13" s="1" t="s">
        <v>21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1</v>
      </c>
      <c r="AK13" s="6">
        <v>0</v>
      </c>
    </row>
    <row r="14" spans="1:37" x14ac:dyDescent="0.2">
      <c r="B14" s="17" t="s">
        <v>22</v>
      </c>
      <c r="Q14" s="17" t="s">
        <v>23</v>
      </c>
      <c r="R14" s="18"/>
      <c r="S14" s="18"/>
      <c r="T14" s="18"/>
      <c r="U14" s="18"/>
      <c r="V14" s="18"/>
      <c r="W14" s="18"/>
      <c r="X14" s="18"/>
      <c r="Y14" s="18"/>
      <c r="AC14" s="17" t="s">
        <v>24</v>
      </c>
      <c r="AD14" s="18"/>
      <c r="AE14" s="18"/>
      <c r="AF14" s="18"/>
      <c r="AG14" s="18"/>
      <c r="AH14" s="18"/>
      <c r="AI14" s="18"/>
      <c r="AJ14" s="18"/>
      <c r="AK14" s="18"/>
    </row>
    <row r="17" spans="16:25" ht="82" x14ac:dyDescent="0.2">
      <c r="Q17" s="2" t="s">
        <v>1</v>
      </c>
      <c r="R17" s="2" t="s">
        <v>2</v>
      </c>
      <c r="S17" s="2" t="s">
        <v>3</v>
      </c>
      <c r="T17" s="2" t="s">
        <v>4</v>
      </c>
      <c r="U17" s="2" t="s">
        <v>5</v>
      </c>
      <c r="V17" s="2" t="s">
        <v>6</v>
      </c>
      <c r="W17" s="2" t="s">
        <v>7</v>
      </c>
      <c r="X17" s="2" t="s">
        <v>8</v>
      </c>
      <c r="Y17" s="2" t="s">
        <v>9</v>
      </c>
    </row>
    <row r="18" spans="16:25" x14ac:dyDescent="0.2">
      <c r="P18" s="1" t="s">
        <v>10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50000</v>
      </c>
      <c r="W18" s="6">
        <v>0</v>
      </c>
      <c r="X18" s="6">
        <v>0</v>
      </c>
      <c r="Y18" s="6">
        <v>0</v>
      </c>
    </row>
    <row r="19" spans="16:25" x14ac:dyDescent="0.2">
      <c r="P19" s="1" t="s">
        <v>11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47000</v>
      </c>
      <c r="X19" s="6">
        <v>0</v>
      </c>
      <c r="Y19" s="6">
        <v>0</v>
      </c>
    </row>
    <row r="20" spans="16:25" x14ac:dyDescent="0.2">
      <c r="P20" s="1" t="s">
        <v>12</v>
      </c>
      <c r="Q20" s="6">
        <v>47500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</row>
    <row r="21" spans="16:25" x14ac:dyDescent="0.2">
      <c r="P21" s="1" t="s">
        <v>13</v>
      </c>
      <c r="Q21" s="6">
        <v>0</v>
      </c>
      <c r="R21" s="6">
        <v>15500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</row>
    <row r="22" spans="16:25" x14ac:dyDescent="0.2">
      <c r="P22" s="1" t="s">
        <v>14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</row>
    <row r="23" spans="16:25" x14ac:dyDescent="0.2">
      <c r="P23" s="1" t="s">
        <v>15</v>
      </c>
      <c r="Q23" s="6">
        <v>0</v>
      </c>
      <c r="R23" s="6">
        <v>0</v>
      </c>
      <c r="S23" s="6">
        <v>6400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</row>
    <row r="24" spans="16:25" x14ac:dyDescent="0.2">
      <c r="P24" s="1" t="s">
        <v>16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</row>
    <row r="25" spans="16:25" x14ac:dyDescent="0.2">
      <c r="P25" s="1" t="s">
        <v>17</v>
      </c>
      <c r="Q25" s="6">
        <v>0</v>
      </c>
      <c r="R25" s="6">
        <v>0</v>
      </c>
      <c r="S25" s="6">
        <v>0</v>
      </c>
      <c r="T25" s="6">
        <v>43000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</row>
    <row r="26" spans="16:25" x14ac:dyDescent="0.2">
      <c r="P26" s="1" t="s">
        <v>18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16000</v>
      </c>
    </row>
    <row r="27" spans="16:25" x14ac:dyDescent="0.2">
      <c r="P27" s="1" t="s">
        <v>19</v>
      </c>
      <c r="Q27" s="6">
        <v>0</v>
      </c>
      <c r="R27" s="6">
        <v>0</v>
      </c>
      <c r="S27" s="6">
        <v>0</v>
      </c>
      <c r="T27" s="6">
        <v>0</v>
      </c>
      <c r="U27" s="6">
        <v>41000</v>
      </c>
      <c r="V27" s="6">
        <v>0</v>
      </c>
      <c r="W27" s="6">
        <v>0</v>
      </c>
      <c r="X27" s="6">
        <v>0</v>
      </c>
      <c r="Y27" s="6">
        <v>0</v>
      </c>
    </row>
    <row r="28" spans="16:25" x14ac:dyDescent="0.2">
      <c r="P28" s="1" t="s">
        <v>20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26500</v>
      </c>
      <c r="Y28" s="6">
        <v>0</v>
      </c>
    </row>
    <row r="29" spans="16:25" x14ac:dyDescent="0.2">
      <c r="P29" s="1" t="s">
        <v>21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</row>
    <row r="30" spans="16:25" x14ac:dyDescent="0.2">
      <c r="Q30" s="17" t="s">
        <v>25</v>
      </c>
      <c r="R30" s="18"/>
      <c r="S30" s="18"/>
      <c r="T30" s="18"/>
      <c r="U30" s="18"/>
      <c r="V30" s="18"/>
      <c r="W30" s="18"/>
      <c r="X30" s="18"/>
      <c r="Y30" s="18"/>
    </row>
    <row r="33" spans="16:33" ht="82" x14ac:dyDescent="0.2">
      <c r="Q33" s="2" t="s">
        <v>1</v>
      </c>
      <c r="R33" s="2" t="s">
        <v>2</v>
      </c>
      <c r="S33" s="2" t="s">
        <v>3</v>
      </c>
      <c r="T33" s="2" t="s">
        <v>4</v>
      </c>
      <c r="U33" s="2" t="s">
        <v>5</v>
      </c>
      <c r="V33" s="2" t="s">
        <v>6</v>
      </c>
      <c r="W33" s="2" t="s">
        <v>7</v>
      </c>
      <c r="X33" s="2" t="s">
        <v>8</v>
      </c>
      <c r="Y33" s="2" t="s">
        <v>9</v>
      </c>
      <c r="AC33" s="2" t="s">
        <v>27</v>
      </c>
      <c r="AD33" s="2" t="s">
        <v>26</v>
      </c>
      <c r="AG33" s="2"/>
    </row>
    <row r="34" spans="16:33" x14ac:dyDescent="0.2">
      <c r="P34" s="1" t="s">
        <v>10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50000</v>
      </c>
      <c r="W34" s="5">
        <v>0</v>
      </c>
      <c r="X34" s="5">
        <v>0</v>
      </c>
      <c r="Y34" s="5">
        <v>0</v>
      </c>
      <c r="AB34" s="1" t="s">
        <v>10</v>
      </c>
      <c r="AC34" s="3">
        <v>0</v>
      </c>
      <c r="AD34" s="3">
        <v>0</v>
      </c>
      <c r="AG34" s="8"/>
    </row>
    <row r="35" spans="16:33" x14ac:dyDescent="0.2">
      <c r="P35" s="1" t="s">
        <v>11</v>
      </c>
      <c r="Q35" s="5">
        <v>500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47000</v>
      </c>
      <c r="X35" s="5">
        <v>0</v>
      </c>
      <c r="Y35" s="5">
        <v>0</v>
      </c>
      <c r="AB35" s="1" t="s">
        <v>11</v>
      </c>
      <c r="AC35" s="3">
        <v>0</v>
      </c>
      <c r="AD35" s="3">
        <v>0</v>
      </c>
      <c r="AG35" s="8"/>
    </row>
    <row r="36" spans="16:33" x14ac:dyDescent="0.2">
      <c r="P36" s="1" t="s">
        <v>12</v>
      </c>
      <c r="Q36" s="5">
        <v>47500</v>
      </c>
      <c r="R36" s="5">
        <v>0</v>
      </c>
      <c r="S36" s="5">
        <v>0</v>
      </c>
      <c r="T36" s="5">
        <v>0</v>
      </c>
      <c r="U36" s="5">
        <v>0</v>
      </c>
      <c r="V36" s="5">
        <v>2500</v>
      </c>
      <c r="W36" s="5">
        <v>0</v>
      </c>
      <c r="X36" s="5">
        <v>0</v>
      </c>
      <c r="Y36" s="5">
        <v>0</v>
      </c>
      <c r="AB36" s="1" t="s">
        <v>12</v>
      </c>
      <c r="AC36" s="3">
        <v>0</v>
      </c>
      <c r="AD36" s="3">
        <v>0</v>
      </c>
      <c r="AG36" s="8"/>
    </row>
    <row r="37" spans="16:33" x14ac:dyDescent="0.2">
      <c r="P37" s="1" t="s">
        <v>13</v>
      </c>
      <c r="Q37" s="5">
        <v>0</v>
      </c>
      <c r="R37" s="5">
        <v>15500</v>
      </c>
      <c r="S37" s="5">
        <v>0</v>
      </c>
      <c r="T37" s="5">
        <v>0</v>
      </c>
      <c r="U37" s="5">
        <v>0</v>
      </c>
      <c r="V37" s="5">
        <v>0</v>
      </c>
      <c r="W37" s="5">
        <v>5000</v>
      </c>
      <c r="X37" s="5">
        <v>0</v>
      </c>
      <c r="Y37" s="5">
        <v>0</v>
      </c>
      <c r="AB37" s="1" t="s">
        <v>13</v>
      </c>
      <c r="AC37" s="3">
        <v>0</v>
      </c>
      <c r="AD37" s="3">
        <v>0</v>
      </c>
      <c r="AG37" s="8"/>
    </row>
    <row r="38" spans="16:33" x14ac:dyDescent="0.2">
      <c r="P38" s="1" t="s">
        <v>14</v>
      </c>
      <c r="Q38" s="5">
        <v>25</v>
      </c>
      <c r="R38" s="5">
        <v>350</v>
      </c>
      <c r="S38" s="5">
        <v>0</v>
      </c>
      <c r="T38" s="5">
        <v>50</v>
      </c>
      <c r="U38" s="5">
        <v>25</v>
      </c>
      <c r="V38" s="5">
        <v>50</v>
      </c>
      <c r="W38" s="5">
        <v>0</v>
      </c>
      <c r="X38" s="5">
        <v>250</v>
      </c>
      <c r="Y38" s="5">
        <v>0</v>
      </c>
      <c r="AB38" s="1" t="s">
        <v>14</v>
      </c>
      <c r="AC38" s="3">
        <v>0</v>
      </c>
      <c r="AD38" s="3">
        <v>14750</v>
      </c>
      <c r="AG38" s="8"/>
    </row>
    <row r="39" spans="16:33" x14ac:dyDescent="0.2">
      <c r="P39" s="1" t="s">
        <v>15</v>
      </c>
      <c r="Q39" s="5">
        <v>0</v>
      </c>
      <c r="R39" s="5">
        <v>0</v>
      </c>
      <c r="S39" s="5">
        <v>6400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AB39" s="1" t="s">
        <v>15</v>
      </c>
      <c r="AC39" s="3">
        <v>0</v>
      </c>
      <c r="AD39" s="3">
        <v>0</v>
      </c>
      <c r="AG39" s="8"/>
    </row>
    <row r="40" spans="16:33" x14ac:dyDescent="0.2">
      <c r="P40" s="1" t="s">
        <v>16</v>
      </c>
      <c r="Q40" s="5">
        <v>25</v>
      </c>
      <c r="R40" s="5">
        <v>0</v>
      </c>
      <c r="S40" s="5">
        <v>0</v>
      </c>
      <c r="T40" s="5">
        <v>25</v>
      </c>
      <c r="U40" s="5">
        <v>25</v>
      </c>
      <c r="V40" s="5">
        <v>25</v>
      </c>
      <c r="W40" s="5">
        <v>75</v>
      </c>
      <c r="X40" s="5">
        <v>0</v>
      </c>
      <c r="Y40" s="5">
        <v>100</v>
      </c>
      <c r="AB40" s="1" t="s">
        <v>16</v>
      </c>
      <c r="AC40" s="3">
        <v>6000</v>
      </c>
      <c r="AD40" s="3">
        <v>0</v>
      </c>
      <c r="AG40" s="8"/>
    </row>
    <row r="41" spans="16:33" x14ac:dyDescent="0.2">
      <c r="P41" s="1" t="s">
        <v>17</v>
      </c>
      <c r="Q41" s="5">
        <v>0</v>
      </c>
      <c r="R41" s="5">
        <v>0</v>
      </c>
      <c r="S41" s="5">
        <v>0</v>
      </c>
      <c r="T41" s="5">
        <v>43000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AB41" s="1" t="s">
        <v>17</v>
      </c>
      <c r="AC41" s="3">
        <v>0</v>
      </c>
      <c r="AD41" s="3">
        <v>0</v>
      </c>
      <c r="AG41" s="8"/>
    </row>
    <row r="42" spans="16:33" x14ac:dyDescent="0.2">
      <c r="P42" s="1" t="s">
        <v>18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16000</v>
      </c>
      <c r="AB42" s="1" t="s">
        <v>18</v>
      </c>
      <c r="AC42" s="3">
        <v>25000</v>
      </c>
      <c r="AD42" s="3">
        <v>0</v>
      </c>
      <c r="AG42" s="8"/>
    </row>
    <row r="43" spans="16:33" x14ac:dyDescent="0.2">
      <c r="P43" s="1" t="s">
        <v>19</v>
      </c>
      <c r="Q43" s="5">
        <v>0</v>
      </c>
      <c r="R43" s="5">
        <v>0</v>
      </c>
      <c r="S43" s="5">
        <v>0</v>
      </c>
      <c r="T43" s="5">
        <v>2000</v>
      </c>
      <c r="U43" s="5">
        <v>41000</v>
      </c>
      <c r="V43" s="5">
        <v>0</v>
      </c>
      <c r="W43" s="5">
        <v>0</v>
      </c>
      <c r="X43" s="5">
        <v>0</v>
      </c>
      <c r="Y43" s="5">
        <v>0</v>
      </c>
      <c r="AB43" s="1" t="s">
        <v>19</v>
      </c>
      <c r="AC43" s="3">
        <v>0</v>
      </c>
      <c r="AD43" s="3">
        <v>0</v>
      </c>
      <c r="AG43" s="8"/>
    </row>
    <row r="44" spans="16:33" x14ac:dyDescent="0.2">
      <c r="P44" s="1" t="s">
        <v>20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26500</v>
      </c>
      <c r="Y44" s="5">
        <v>0</v>
      </c>
      <c r="AB44" s="1" t="s">
        <v>20</v>
      </c>
      <c r="AC44" s="3">
        <v>0</v>
      </c>
      <c r="AD44" s="3">
        <v>0</v>
      </c>
      <c r="AG44" s="8"/>
    </row>
    <row r="45" spans="16:33" x14ac:dyDescent="0.2">
      <c r="P45" s="1" t="s">
        <v>21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500</v>
      </c>
      <c r="Y45" s="5">
        <v>0</v>
      </c>
      <c r="AB45" s="1" t="s">
        <v>21</v>
      </c>
      <c r="AC45" s="3">
        <v>0</v>
      </c>
      <c r="AD45" s="3">
        <v>26000</v>
      </c>
      <c r="AG45" s="8"/>
    </row>
    <row r="46" spans="16:33" x14ac:dyDescent="0.2">
      <c r="Q46" s="17" t="s">
        <v>28</v>
      </c>
      <c r="R46" s="18"/>
      <c r="S46" s="18"/>
      <c r="T46" s="18"/>
      <c r="U46" s="18"/>
      <c r="V46" s="18"/>
      <c r="W46" s="18"/>
      <c r="X46" s="18"/>
      <c r="Y46" s="18"/>
      <c r="AC46" s="17" t="s">
        <v>29</v>
      </c>
      <c r="AD46" s="18"/>
    </row>
    <row r="49" spans="1:13" ht="91" x14ac:dyDescent="0.2">
      <c r="B49" s="2" t="s">
        <v>10</v>
      </c>
      <c r="C49" s="2" t="s">
        <v>11</v>
      </c>
      <c r="D49" s="2" t="s">
        <v>12</v>
      </c>
      <c r="E49" s="2" t="s">
        <v>13</v>
      </c>
      <c r="F49" s="2" t="s">
        <v>14</v>
      </c>
      <c r="G49" s="2" t="s">
        <v>15</v>
      </c>
      <c r="H49" s="2" t="s">
        <v>16</v>
      </c>
      <c r="I49" s="2" t="s">
        <v>17</v>
      </c>
      <c r="J49" s="2" t="s">
        <v>18</v>
      </c>
      <c r="K49" s="2" t="s">
        <v>19</v>
      </c>
      <c r="L49" s="2" t="s">
        <v>20</v>
      </c>
      <c r="M49" s="2" t="s">
        <v>21</v>
      </c>
    </row>
    <row r="50" spans="1:13" x14ac:dyDescent="0.2">
      <c r="A50" s="1" t="s">
        <v>1</v>
      </c>
      <c r="B50" s="5">
        <v>0</v>
      </c>
      <c r="C50" s="5">
        <v>47500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</row>
    <row r="51" spans="1:13" x14ac:dyDescent="0.2">
      <c r="A51" s="1" t="s">
        <v>2</v>
      </c>
      <c r="B51" s="5">
        <v>0</v>
      </c>
      <c r="C51" s="5">
        <v>0</v>
      </c>
      <c r="D51" s="5">
        <v>0</v>
      </c>
      <c r="E51" s="5">
        <v>0</v>
      </c>
      <c r="F51" s="5">
        <v>15500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</row>
    <row r="52" spans="1:13" x14ac:dyDescent="0.2">
      <c r="A52" s="1" t="s">
        <v>3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6275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</row>
    <row r="53" spans="1:13" x14ac:dyDescent="0.2">
      <c r="A53" s="1" t="s">
        <v>4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43000</v>
      </c>
      <c r="L53" s="5">
        <v>0</v>
      </c>
      <c r="M53" s="5">
        <v>0</v>
      </c>
    </row>
    <row r="54" spans="1:13" x14ac:dyDescent="0.2">
      <c r="A54" s="1" t="s">
        <v>5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41000</v>
      </c>
      <c r="K54" s="5">
        <v>0</v>
      </c>
      <c r="L54" s="5">
        <v>0</v>
      </c>
      <c r="M54" s="5">
        <v>0</v>
      </c>
    </row>
    <row r="55" spans="1:13" x14ac:dyDescent="0.2">
      <c r="A55" s="1" t="s">
        <v>6</v>
      </c>
      <c r="B55" s="5">
        <v>0</v>
      </c>
      <c r="C55" s="5">
        <v>0</v>
      </c>
      <c r="D55" s="5">
        <v>50000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</row>
    <row r="56" spans="1:13" x14ac:dyDescent="0.2">
      <c r="A56" s="1" t="s">
        <v>7</v>
      </c>
      <c r="B56" s="5">
        <v>0</v>
      </c>
      <c r="C56" s="5">
        <v>0</v>
      </c>
      <c r="D56" s="5">
        <v>0</v>
      </c>
      <c r="E56" s="5">
        <v>20500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26500</v>
      </c>
      <c r="M56" s="5">
        <v>0</v>
      </c>
    </row>
    <row r="57" spans="1:13" x14ac:dyDescent="0.2">
      <c r="A57" s="1" t="s">
        <v>8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26500</v>
      </c>
    </row>
    <row r="58" spans="1:13" x14ac:dyDescent="0.2">
      <c r="A58" s="1" t="s">
        <v>9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6400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</row>
    <row r="59" spans="1:13" x14ac:dyDescent="0.2">
      <c r="B59" s="17" t="s">
        <v>30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</row>
    <row r="62" spans="1:13" ht="91" x14ac:dyDescent="0.2">
      <c r="B62" s="2" t="s">
        <v>10</v>
      </c>
      <c r="C62" s="2" t="s">
        <v>11</v>
      </c>
      <c r="D62" s="2" t="s">
        <v>12</v>
      </c>
      <c r="E62" s="2" t="s">
        <v>13</v>
      </c>
      <c r="F62" s="2" t="s">
        <v>14</v>
      </c>
      <c r="G62" s="2" t="s">
        <v>15</v>
      </c>
      <c r="H62" s="2" t="s">
        <v>16</v>
      </c>
      <c r="I62" s="2" t="s">
        <v>17</v>
      </c>
      <c r="J62" s="2" t="s">
        <v>18</v>
      </c>
      <c r="K62" s="2" t="s">
        <v>19</v>
      </c>
      <c r="L62" s="2" t="s">
        <v>20</v>
      </c>
      <c r="M62" s="2" t="s">
        <v>21</v>
      </c>
    </row>
    <row r="63" spans="1:13" x14ac:dyDescent="0.2">
      <c r="A63" s="1" t="s">
        <v>31</v>
      </c>
      <c r="B63" s="3">
        <v>50000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1:13" x14ac:dyDescent="0.2">
      <c r="A64" s="1" t="s">
        <v>32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43000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B65" s="17" t="s">
        <v>33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</row>
  </sheetData>
  <mergeCells count="8">
    <mergeCell ref="B65:M65"/>
    <mergeCell ref="Q46:Y46"/>
    <mergeCell ref="B59:M59"/>
    <mergeCell ref="AC46:AD46"/>
    <mergeCell ref="AC14:AK14"/>
    <mergeCell ref="Q14:Y14"/>
    <mergeCell ref="Q30:Y30"/>
    <mergeCell ref="B14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71"/>
  <sheetViews>
    <sheetView topLeftCell="K1" workbookViewId="0">
      <selection activeCell="AE38" sqref="AE38"/>
    </sheetView>
  </sheetViews>
  <sheetFormatPr baseColWidth="10" defaultColWidth="8.83203125" defaultRowHeight="15" x14ac:dyDescent="0.2"/>
  <cols>
    <col min="1" max="1" width="35.6640625" bestFit="1" customWidth="1"/>
    <col min="2" max="17" width="8.5"/>
    <col min="18" max="18" width="35.6640625" bestFit="1" customWidth="1"/>
    <col min="19" max="29" width="8.5"/>
    <col min="30" max="30" width="35.6640625" bestFit="1" customWidth="1"/>
  </cols>
  <sheetData>
    <row r="1" spans="1:39" ht="82" x14ac:dyDescent="0.2">
      <c r="B1" s="2" t="s">
        <v>0</v>
      </c>
      <c r="S1" s="2" t="s">
        <v>1</v>
      </c>
      <c r="T1" s="2" t="s">
        <v>2</v>
      </c>
      <c r="U1" s="2" t="s">
        <v>3</v>
      </c>
      <c r="V1" s="2" t="s">
        <v>4</v>
      </c>
      <c r="W1" s="2" t="s">
        <v>5</v>
      </c>
      <c r="X1" s="2" t="s">
        <v>6</v>
      </c>
      <c r="Y1" s="2" t="s">
        <v>7</v>
      </c>
      <c r="Z1" s="2" t="s">
        <v>8</v>
      </c>
      <c r="AA1" s="2" t="s">
        <v>9</v>
      </c>
      <c r="AE1" s="2" t="s">
        <v>1</v>
      </c>
      <c r="AF1" s="2" t="s">
        <v>2</v>
      </c>
      <c r="AG1" s="2" t="s">
        <v>3</v>
      </c>
      <c r="AH1" s="2" t="s">
        <v>4</v>
      </c>
      <c r="AI1" s="2" t="s">
        <v>5</v>
      </c>
      <c r="AJ1" s="2" t="s">
        <v>6</v>
      </c>
      <c r="AK1" s="2" t="s">
        <v>7</v>
      </c>
      <c r="AL1" s="2" t="s">
        <v>8</v>
      </c>
      <c r="AM1" s="2" t="s">
        <v>9</v>
      </c>
    </row>
    <row r="2" spans="1:39" x14ac:dyDescent="0.2">
      <c r="A2" s="1" t="s">
        <v>10</v>
      </c>
      <c r="B2" s="6">
        <v>1</v>
      </c>
      <c r="R2" s="1" t="s">
        <v>10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D2" s="1" t="s">
        <v>10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</row>
    <row r="3" spans="1:39" x14ac:dyDescent="0.2">
      <c r="A3" s="1" t="s">
        <v>11</v>
      </c>
      <c r="B3" s="6">
        <v>1</v>
      </c>
      <c r="R3" s="1" t="s">
        <v>11</v>
      </c>
      <c r="S3" s="6">
        <v>530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D3" s="1" t="s">
        <v>11</v>
      </c>
      <c r="AE3" s="6">
        <v>1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</row>
    <row r="4" spans="1:39" x14ac:dyDescent="0.2">
      <c r="A4" s="1" t="s">
        <v>12</v>
      </c>
      <c r="B4" s="6">
        <v>1</v>
      </c>
      <c r="R4" s="1" t="s">
        <v>12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2650</v>
      </c>
      <c r="Y4" s="6">
        <v>0</v>
      </c>
      <c r="Z4" s="6">
        <v>0</v>
      </c>
      <c r="AA4" s="6">
        <v>0</v>
      </c>
      <c r="AD4" s="1" t="s">
        <v>12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1</v>
      </c>
      <c r="AK4" s="6">
        <v>0</v>
      </c>
      <c r="AL4" s="6">
        <v>0</v>
      </c>
      <c r="AM4" s="6">
        <v>0</v>
      </c>
    </row>
    <row r="5" spans="1:39" x14ac:dyDescent="0.2">
      <c r="A5" s="1" t="s">
        <v>34</v>
      </c>
      <c r="B5" s="6">
        <v>0</v>
      </c>
      <c r="R5" s="1" t="s">
        <v>34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D5" s="1" t="s">
        <v>34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</row>
    <row r="6" spans="1:39" x14ac:dyDescent="0.2">
      <c r="A6" s="1" t="s">
        <v>13</v>
      </c>
      <c r="B6" s="6">
        <v>1</v>
      </c>
      <c r="R6" s="1" t="s">
        <v>13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5300</v>
      </c>
      <c r="Z6" s="6">
        <v>0</v>
      </c>
      <c r="AA6" s="6">
        <v>0</v>
      </c>
      <c r="AD6" s="1" t="s">
        <v>13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1</v>
      </c>
      <c r="AL6" s="6">
        <v>0</v>
      </c>
      <c r="AM6" s="6">
        <v>0</v>
      </c>
    </row>
    <row r="7" spans="1:39" x14ac:dyDescent="0.2">
      <c r="A7" s="1" t="s">
        <v>14</v>
      </c>
      <c r="B7" s="6">
        <v>1</v>
      </c>
      <c r="R7" s="1" t="s">
        <v>14</v>
      </c>
      <c r="S7" s="6">
        <v>26.5</v>
      </c>
      <c r="T7" s="6">
        <v>371</v>
      </c>
      <c r="U7" s="6">
        <v>0</v>
      </c>
      <c r="V7" s="6">
        <v>53</v>
      </c>
      <c r="W7" s="6">
        <v>26.5</v>
      </c>
      <c r="X7" s="6">
        <v>53</v>
      </c>
      <c r="Y7" s="6">
        <v>0</v>
      </c>
      <c r="Z7" s="6">
        <v>265</v>
      </c>
      <c r="AA7" s="6">
        <v>0</v>
      </c>
      <c r="AD7" s="1" t="s">
        <v>14</v>
      </c>
      <c r="AE7" s="6">
        <v>1</v>
      </c>
      <c r="AF7" s="6">
        <v>1</v>
      </c>
      <c r="AG7" s="6">
        <v>0</v>
      </c>
      <c r="AH7" s="6">
        <v>1</v>
      </c>
      <c r="AI7" s="6">
        <v>1</v>
      </c>
      <c r="AJ7" s="6">
        <v>1</v>
      </c>
      <c r="AK7" s="6">
        <v>0</v>
      </c>
      <c r="AL7" s="6">
        <v>1</v>
      </c>
      <c r="AM7" s="6">
        <v>0</v>
      </c>
    </row>
    <row r="8" spans="1:39" x14ac:dyDescent="0.2">
      <c r="A8" s="1" t="s">
        <v>15</v>
      </c>
      <c r="B8" s="6">
        <v>1</v>
      </c>
      <c r="R8" s="1" t="s">
        <v>15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D8" s="1" t="s">
        <v>15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</row>
    <row r="9" spans="1:39" x14ac:dyDescent="0.2">
      <c r="A9" s="1" t="s">
        <v>16</v>
      </c>
      <c r="B9" s="6">
        <v>1</v>
      </c>
      <c r="R9" s="1" t="s">
        <v>16</v>
      </c>
      <c r="S9" s="6">
        <v>25</v>
      </c>
      <c r="T9" s="6">
        <v>0</v>
      </c>
      <c r="U9" s="6">
        <v>0</v>
      </c>
      <c r="V9" s="6">
        <v>25</v>
      </c>
      <c r="W9" s="6">
        <v>25</v>
      </c>
      <c r="X9" s="6">
        <v>25</v>
      </c>
      <c r="Y9" s="6">
        <v>75</v>
      </c>
      <c r="Z9" s="6">
        <v>0</v>
      </c>
      <c r="AA9" s="6">
        <v>100</v>
      </c>
      <c r="AD9" s="1" t="s">
        <v>16</v>
      </c>
      <c r="AE9" s="6">
        <v>1</v>
      </c>
      <c r="AF9" s="6">
        <v>0</v>
      </c>
      <c r="AG9" s="6">
        <v>0</v>
      </c>
      <c r="AH9" s="6">
        <v>1</v>
      </c>
      <c r="AI9" s="6">
        <v>1</v>
      </c>
      <c r="AJ9" s="6">
        <v>1</v>
      </c>
      <c r="AK9" s="6">
        <v>1</v>
      </c>
      <c r="AL9" s="6">
        <v>0</v>
      </c>
      <c r="AM9" s="6">
        <v>1</v>
      </c>
    </row>
    <row r="10" spans="1:39" x14ac:dyDescent="0.2">
      <c r="A10" s="1" t="s">
        <v>35</v>
      </c>
      <c r="B10" s="6">
        <v>0</v>
      </c>
      <c r="R10" s="1" t="s">
        <v>35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D10" s="1" t="s">
        <v>35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</row>
    <row r="11" spans="1:39" x14ac:dyDescent="0.2">
      <c r="A11" s="1" t="s">
        <v>17</v>
      </c>
      <c r="B11" s="6">
        <v>1</v>
      </c>
      <c r="R11" s="1" t="s">
        <v>17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D11" s="1" t="s">
        <v>17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</row>
    <row r="12" spans="1:39" x14ac:dyDescent="0.2">
      <c r="A12" s="1" t="s">
        <v>18</v>
      </c>
      <c r="B12" s="6">
        <v>1</v>
      </c>
      <c r="R12" s="1" t="s">
        <v>18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D12" s="1" t="s">
        <v>18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</row>
    <row r="13" spans="1:39" x14ac:dyDescent="0.2">
      <c r="A13" s="1" t="s">
        <v>19</v>
      </c>
      <c r="B13" s="6">
        <v>1</v>
      </c>
      <c r="R13" s="1" t="s">
        <v>19</v>
      </c>
      <c r="S13" s="6">
        <v>0</v>
      </c>
      <c r="T13" s="6">
        <v>0</v>
      </c>
      <c r="U13" s="6">
        <v>0</v>
      </c>
      <c r="V13" s="6">
        <v>2080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D13" s="1" t="s">
        <v>19</v>
      </c>
      <c r="AE13" s="6">
        <v>0</v>
      </c>
      <c r="AF13" s="6">
        <v>0</v>
      </c>
      <c r="AG13" s="6">
        <v>0</v>
      </c>
      <c r="AH13" s="6">
        <v>1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</row>
    <row r="14" spans="1:39" x14ac:dyDescent="0.2">
      <c r="A14" s="1" t="s">
        <v>20</v>
      </c>
      <c r="B14" s="6">
        <v>1</v>
      </c>
      <c r="R14" s="1" t="s">
        <v>20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D14" s="1" t="s">
        <v>20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</row>
    <row r="15" spans="1:39" x14ac:dyDescent="0.2">
      <c r="A15" s="1" t="s">
        <v>21</v>
      </c>
      <c r="B15" s="6">
        <v>1</v>
      </c>
      <c r="R15" s="1" t="s">
        <v>21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530</v>
      </c>
      <c r="AA15" s="6">
        <v>0</v>
      </c>
      <c r="AD15" s="1" t="s">
        <v>21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1</v>
      </c>
      <c r="AM15" s="6">
        <v>0</v>
      </c>
    </row>
    <row r="16" spans="1:39" x14ac:dyDescent="0.2">
      <c r="B16" s="17" t="s">
        <v>22</v>
      </c>
      <c r="S16" s="17" t="s">
        <v>23</v>
      </c>
      <c r="T16" s="18"/>
      <c r="U16" s="18"/>
      <c r="V16" s="18"/>
      <c r="W16" s="18"/>
      <c r="X16" s="18"/>
      <c r="Y16" s="18"/>
      <c r="Z16" s="18"/>
      <c r="AA16" s="18"/>
      <c r="AE16" s="17" t="s">
        <v>24</v>
      </c>
      <c r="AF16" s="18"/>
      <c r="AG16" s="18"/>
      <c r="AH16" s="18"/>
      <c r="AI16" s="18"/>
      <c r="AJ16" s="18"/>
      <c r="AK16" s="18"/>
      <c r="AL16" s="18"/>
      <c r="AM16" s="18"/>
    </row>
    <row r="19" spans="18:27" ht="82" x14ac:dyDescent="0.2">
      <c r="S19" s="2" t="s">
        <v>1</v>
      </c>
      <c r="T19" s="2" t="s">
        <v>2</v>
      </c>
      <c r="U19" s="2" t="s">
        <v>3</v>
      </c>
      <c r="V19" s="2" t="s">
        <v>4</v>
      </c>
      <c r="W19" s="2" t="s">
        <v>5</v>
      </c>
      <c r="X19" s="2" t="s">
        <v>6</v>
      </c>
      <c r="Y19" s="2" t="s">
        <v>7</v>
      </c>
      <c r="Z19" s="2" t="s">
        <v>8</v>
      </c>
      <c r="AA19" s="2" t="s">
        <v>9</v>
      </c>
    </row>
    <row r="20" spans="18:27" x14ac:dyDescent="0.2">
      <c r="R20" s="1" t="s">
        <v>10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53000</v>
      </c>
      <c r="Y20" s="6">
        <v>0</v>
      </c>
      <c r="Z20" s="6">
        <v>0</v>
      </c>
      <c r="AA20" s="6">
        <v>0</v>
      </c>
    </row>
    <row r="21" spans="18:27" x14ac:dyDescent="0.2">
      <c r="R21" s="1" t="s">
        <v>11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49820</v>
      </c>
      <c r="Z21" s="6">
        <v>0</v>
      </c>
      <c r="AA21" s="6">
        <v>0</v>
      </c>
    </row>
    <row r="22" spans="18:27" x14ac:dyDescent="0.2">
      <c r="R22" s="1" t="s">
        <v>12</v>
      </c>
      <c r="S22" s="6">
        <v>50350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</row>
    <row r="23" spans="18:27" x14ac:dyDescent="0.2">
      <c r="R23" s="1" t="s">
        <v>34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</row>
    <row r="24" spans="18:27" x14ac:dyDescent="0.2">
      <c r="R24" s="1" t="s">
        <v>13</v>
      </c>
      <c r="S24" s="6">
        <v>0</v>
      </c>
      <c r="T24" s="6">
        <v>16430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</row>
    <row r="25" spans="18:27" x14ac:dyDescent="0.2">
      <c r="R25" s="1" t="s">
        <v>14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</row>
    <row r="26" spans="18:27" x14ac:dyDescent="0.2">
      <c r="R26" s="1" t="s">
        <v>15</v>
      </c>
      <c r="S26" s="6">
        <v>0</v>
      </c>
      <c r="T26" s="6">
        <v>0</v>
      </c>
      <c r="U26" s="6">
        <v>6400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</row>
    <row r="27" spans="18:27" x14ac:dyDescent="0.2">
      <c r="R27" s="1" t="s">
        <v>16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</row>
    <row r="28" spans="18:27" x14ac:dyDescent="0.2">
      <c r="R28" s="1" t="s">
        <v>35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</row>
    <row r="29" spans="18:27" x14ac:dyDescent="0.2">
      <c r="R29" s="1" t="s">
        <v>17</v>
      </c>
      <c r="S29" s="6">
        <v>0</v>
      </c>
      <c r="T29" s="6">
        <v>0</v>
      </c>
      <c r="U29" s="6">
        <v>0</v>
      </c>
      <c r="V29" s="6">
        <v>44720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</row>
    <row r="30" spans="18:27" x14ac:dyDescent="0.2">
      <c r="R30" s="1" t="s">
        <v>18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16640</v>
      </c>
    </row>
    <row r="31" spans="18:27" x14ac:dyDescent="0.2">
      <c r="R31" s="1" t="s">
        <v>19</v>
      </c>
      <c r="S31" s="6">
        <v>0</v>
      </c>
      <c r="T31" s="6">
        <v>0</v>
      </c>
      <c r="U31" s="6">
        <v>0</v>
      </c>
      <c r="V31" s="6">
        <v>0</v>
      </c>
      <c r="W31" s="6">
        <v>42640</v>
      </c>
      <c r="X31" s="6">
        <v>0</v>
      </c>
      <c r="Y31" s="6">
        <v>0</v>
      </c>
      <c r="Z31" s="6">
        <v>0</v>
      </c>
      <c r="AA31" s="6">
        <v>0</v>
      </c>
    </row>
    <row r="32" spans="18:27" x14ac:dyDescent="0.2">
      <c r="R32" s="1" t="s">
        <v>20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28090</v>
      </c>
      <c r="AA32" s="6">
        <v>0</v>
      </c>
    </row>
    <row r="33" spans="18:34" x14ac:dyDescent="0.2">
      <c r="R33" s="1" t="s">
        <v>21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</row>
    <row r="34" spans="18:34" x14ac:dyDescent="0.2">
      <c r="S34" s="17" t="s">
        <v>25</v>
      </c>
      <c r="T34" s="18"/>
      <c r="U34" s="18"/>
      <c r="V34" s="18"/>
      <c r="W34" s="18"/>
      <c r="X34" s="18"/>
      <c r="Y34" s="18"/>
      <c r="Z34" s="18"/>
      <c r="AA34" s="18"/>
    </row>
    <row r="37" spans="18:34" ht="106" x14ac:dyDescent="0.2">
      <c r="S37" s="2" t="s">
        <v>1</v>
      </c>
      <c r="T37" s="2" t="s">
        <v>2</v>
      </c>
      <c r="U37" s="2" t="s">
        <v>3</v>
      </c>
      <c r="V37" s="2" t="s">
        <v>4</v>
      </c>
      <c r="W37" s="2" t="s">
        <v>5</v>
      </c>
      <c r="X37" s="2" t="s">
        <v>6</v>
      </c>
      <c r="Y37" s="2" t="s">
        <v>7</v>
      </c>
      <c r="Z37" s="2" t="s">
        <v>8</v>
      </c>
      <c r="AA37" s="2" t="s">
        <v>9</v>
      </c>
      <c r="AE37" s="2" t="s">
        <v>52</v>
      </c>
      <c r="AF37" s="2" t="s">
        <v>27</v>
      </c>
      <c r="AG37" s="2" t="s">
        <v>36</v>
      </c>
      <c r="AH37" s="2" t="s">
        <v>26</v>
      </c>
    </row>
    <row r="38" spans="18:34" x14ac:dyDescent="0.2">
      <c r="R38" s="1" t="s">
        <v>10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53000</v>
      </c>
      <c r="Y38" s="5">
        <v>0</v>
      </c>
      <c r="Z38" s="5">
        <v>0</v>
      </c>
      <c r="AA38" s="5">
        <v>0</v>
      </c>
      <c r="AD38" s="1" t="s">
        <v>10</v>
      </c>
      <c r="AE38" s="3">
        <v>0</v>
      </c>
      <c r="AF38" s="3">
        <v>0</v>
      </c>
      <c r="AG38" s="3">
        <v>0</v>
      </c>
      <c r="AH38" s="3">
        <v>0</v>
      </c>
    </row>
    <row r="39" spans="18:34" x14ac:dyDescent="0.2">
      <c r="R39" s="1" t="s">
        <v>11</v>
      </c>
      <c r="S39" s="5">
        <v>530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49820</v>
      </c>
      <c r="Z39" s="5">
        <v>0</v>
      </c>
      <c r="AA39" s="5">
        <v>0</v>
      </c>
      <c r="AD39" s="1" t="s">
        <v>11</v>
      </c>
      <c r="AE39" s="3">
        <v>0</v>
      </c>
      <c r="AF39" s="3">
        <v>0</v>
      </c>
      <c r="AG39" s="3">
        <v>0</v>
      </c>
      <c r="AH39" s="3">
        <v>0</v>
      </c>
    </row>
    <row r="40" spans="18:34" x14ac:dyDescent="0.2">
      <c r="R40" s="1" t="s">
        <v>12</v>
      </c>
      <c r="S40" s="5">
        <v>50350</v>
      </c>
      <c r="T40" s="5">
        <v>0</v>
      </c>
      <c r="U40" s="5">
        <v>0</v>
      </c>
      <c r="V40" s="5">
        <v>0</v>
      </c>
      <c r="W40" s="5">
        <v>0</v>
      </c>
      <c r="X40" s="5">
        <v>2650</v>
      </c>
      <c r="Y40" s="5">
        <v>0</v>
      </c>
      <c r="Z40" s="5">
        <v>0</v>
      </c>
      <c r="AA40" s="5">
        <v>0</v>
      </c>
      <c r="AD40" s="1" t="s">
        <v>12</v>
      </c>
      <c r="AE40" s="3">
        <v>0</v>
      </c>
      <c r="AF40" s="3">
        <v>0</v>
      </c>
      <c r="AG40" s="3">
        <v>0</v>
      </c>
      <c r="AH40" s="3">
        <v>0</v>
      </c>
    </row>
    <row r="41" spans="18:34" x14ac:dyDescent="0.2">
      <c r="R41" s="1" t="s">
        <v>34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D41" s="1" t="s">
        <v>34</v>
      </c>
      <c r="AE41" s="3">
        <v>14665.4416375</v>
      </c>
      <c r="AF41" s="3">
        <v>0</v>
      </c>
      <c r="AG41" s="3">
        <v>0</v>
      </c>
      <c r="AH41" s="3">
        <v>0</v>
      </c>
    </row>
    <row r="42" spans="18:34" x14ac:dyDescent="0.2">
      <c r="R42" s="1" t="s">
        <v>13</v>
      </c>
      <c r="S42" s="5">
        <v>0</v>
      </c>
      <c r="T42" s="5">
        <v>16430</v>
      </c>
      <c r="U42" s="5">
        <v>0</v>
      </c>
      <c r="V42" s="5">
        <v>0</v>
      </c>
      <c r="W42" s="5">
        <v>0</v>
      </c>
      <c r="X42" s="5">
        <v>0</v>
      </c>
      <c r="Y42" s="5">
        <v>5300</v>
      </c>
      <c r="Z42" s="5">
        <v>0</v>
      </c>
      <c r="AA42" s="5">
        <v>0</v>
      </c>
      <c r="AD42" s="1" t="s">
        <v>13</v>
      </c>
      <c r="AE42" s="3">
        <v>0</v>
      </c>
      <c r="AF42" s="3">
        <v>0</v>
      </c>
      <c r="AG42" s="3">
        <v>0</v>
      </c>
      <c r="AH42" s="3">
        <v>0</v>
      </c>
    </row>
    <row r="43" spans="18:34" x14ac:dyDescent="0.2">
      <c r="R43" s="1" t="s">
        <v>14</v>
      </c>
      <c r="S43" s="5">
        <v>26.5</v>
      </c>
      <c r="T43" s="5">
        <v>371</v>
      </c>
      <c r="U43" s="5">
        <v>0</v>
      </c>
      <c r="V43" s="5">
        <v>53</v>
      </c>
      <c r="W43" s="5">
        <v>26.5</v>
      </c>
      <c r="X43" s="5">
        <v>53</v>
      </c>
      <c r="Y43" s="5">
        <v>0</v>
      </c>
      <c r="Z43" s="5">
        <v>265</v>
      </c>
      <c r="AA43" s="5">
        <v>0</v>
      </c>
      <c r="AD43" s="1" t="s">
        <v>14</v>
      </c>
      <c r="AE43" s="3">
        <v>0</v>
      </c>
      <c r="AF43" s="3">
        <v>0</v>
      </c>
      <c r="AG43" s="3">
        <v>0</v>
      </c>
      <c r="AH43" s="3">
        <v>15635</v>
      </c>
    </row>
    <row r="44" spans="18:34" x14ac:dyDescent="0.2">
      <c r="R44" s="1" t="s">
        <v>15</v>
      </c>
      <c r="S44" s="5">
        <v>0</v>
      </c>
      <c r="T44" s="5">
        <v>0</v>
      </c>
      <c r="U44" s="5">
        <v>6400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D44" s="1" t="s">
        <v>15</v>
      </c>
      <c r="AE44" s="3">
        <v>0</v>
      </c>
      <c r="AF44" s="3">
        <v>0</v>
      </c>
      <c r="AG44" s="3">
        <v>0</v>
      </c>
      <c r="AH44" s="3">
        <v>0</v>
      </c>
    </row>
    <row r="45" spans="18:34" x14ac:dyDescent="0.2">
      <c r="R45" s="1" t="s">
        <v>16</v>
      </c>
      <c r="S45" s="5">
        <v>25</v>
      </c>
      <c r="T45" s="5">
        <v>0</v>
      </c>
      <c r="U45" s="5">
        <v>0</v>
      </c>
      <c r="V45" s="5">
        <v>25</v>
      </c>
      <c r="W45" s="5">
        <v>25</v>
      </c>
      <c r="X45" s="5">
        <v>25</v>
      </c>
      <c r="Y45" s="5">
        <v>75</v>
      </c>
      <c r="Z45" s="5">
        <v>0</v>
      </c>
      <c r="AA45" s="5">
        <v>100</v>
      </c>
      <c r="AD45" s="1" t="s">
        <v>16</v>
      </c>
      <c r="AE45" s="3">
        <v>0</v>
      </c>
      <c r="AF45" s="3">
        <v>6000</v>
      </c>
      <c r="AG45" s="3">
        <v>0</v>
      </c>
      <c r="AH45" s="3">
        <v>0</v>
      </c>
    </row>
    <row r="46" spans="18:34" x14ac:dyDescent="0.2">
      <c r="R46" s="1" t="s">
        <v>35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D46" s="1" t="s">
        <v>35</v>
      </c>
      <c r="AE46" s="3">
        <v>0</v>
      </c>
      <c r="AF46" s="3">
        <v>0</v>
      </c>
      <c r="AG46" s="3">
        <v>7859.5583624999999</v>
      </c>
      <c r="AH46" s="3">
        <v>0</v>
      </c>
    </row>
    <row r="47" spans="18:34" x14ac:dyDescent="0.2">
      <c r="R47" s="1" t="s">
        <v>17</v>
      </c>
      <c r="S47" s="5">
        <v>0</v>
      </c>
      <c r="T47" s="5">
        <v>0</v>
      </c>
      <c r="U47" s="5">
        <v>0</v>
      </c>
      <c r="V47" s="5">
        <v>44720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D47" s="1" t="s">
        <v>17</v>
      </c>
      <c r="AE47" s="3">
        <v>0</v>
      </c>
      <c r="AF47" s="3">
        <v>0</v>
      </c>
      <c r="AG47" s="3">
        <v>0</v>
      </c>
      <c r="AH47" s="3">
        <v>0</v>
      </c>
    </row>
    <row r="48" spans="18:34" x14ac:dyDescent="0.2">
      <c r="R48" s="1" t="s">
        <v>18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16640</v>
      </c>
      <c r="AD48" s="1" t="s">
        <v>18</v>
      </c>
      <c r="AE48" s="3">
        <v>0</v>
      </c>
      <c r="AF48" s="3">
        <v>26000</v>
      </c>
      <c r="AG48" s="3">
        <v>0</v>
      </c>
      <c r="AH48" s="3">
        <v>0</v>
      </c>
    </row>
    <row r="49" spans="1:34" x14ac:dyDescent="0.2">
      <c r="R49" s="1" t="s">
        <v>19</v>
      </c>
      <c r="S49" s="5">
        <v>0</v>
      </c>
      <c r="T49" s="5">
        <v>0</v>
      </c>
      <c r="U49" s="5">
        <v>0</v>
      </c>
      <c r="V49" s="5">
        <v>2080</v>
      </c>
      <c r="W49" s="5">
        <v>42640</v>
      </c>
      <c r="X49" s="5">
        <v>0</v>
      </c>
      <c r="Y49" s="5">
        <v>0</v>
      </c>
      <c r="Z49" s="5">
        <v>0</v>
      </c>
      <c r="AA49" s="5">
        <v>0</v>
      </c>
      <c r="AD49" s="1" t="s">
        <v>19</v>
      </c>
      <c r="AE49" s="3">
        <v>0</v>
      </c>
      <c r="AF49" s="3">
        <v>0</v>
      </c>
      <c r="AG49" s="3">
        <v>0</v>
      </c>
      <c r="AH49" s="3">
        <v>0</v>
      </c>
    </row>
    <row r="50" spans="1:34" x14ac:dyDescent="0.2">
      <c r="R50" s="1" t="s">
        <v>20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28090</v>
      </c>
      <c r="AA50" s="5">
        <v>0</v>
      </c>
      <c r="AD50" s="1" t="s">
        <v>20</v>
      </c>
      <c r="AE50" s="3">
        <v>0</v>
      </c>
      <c r="AF50" s="3">
        <v>0</v>
      </c>
      <c r="AG50" s="3">
        <v>0</v>
      </c>
      <c r="AH50" s="3">
        <v>0</v>
      </c>
    </row>
    <row r="51" spans="1:34" x14ac:dyDescent="0.2">
      <c r="R51" s="1" t="s">
        <v>21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530</v>
      </c>
      <c r="AA51" s="5">
        <v>0</v>
      </c>
      <c r="AD51" s="1" t="s">
        <v>21</v>
      </c>
      <c r="AE51" s="3">
        <v>0</v>
      </c>
      <c r="AF51" s="3">
        <v>0</v>
      </c>
      <c r="AG51" s="3">
        <v>0</v>
      </c>
      <c r="AH51" s="3">
        <v>27560</v>
      </c>
    </row>
    <row r="52" spans="1:34" x14ac:dyDescent="0.2">
      <c r="S52" s="17" t="s">
        <v>28</v>
      </c>
      <c r="T52" s="18"/>
      <c r="U52" s="18"/>
      <c r="V52" s="18"/>
      <c r="W52" s="18"/>
      <c r="X52" s="18"/>
      <c r="Y52" s="18"/>
      <c r="Z52" s="18"/>
      <c r="AA52" s="18"/>
      <c r="AE52" s="17" t="s">
        <v>29</v>
      </c>
      <c r="AF52" s="18"/>
      <c r="AG52" s="18"/>
      <c r="AH52" s="18"/>
    </row>
    <row r="55" spans="1:34" ht="172" x14ac:dyDescent="0.2">
      <c r="B55" s="2" t="s">
        <v>10</v>
      </c>
      <c r="C55" s="2" t="s">
        <v>11</v>
      </c>
      <c r="D55" s="2" t="s">
        <v>12</v>
      </c>
      <c r="E55" s="2" t="s">
        <v>34</v>
      </c>
      <c r="F55" s="2" t="s">
        <v>13</v>
      </c>
      <c r="G55" s="2" t="s">
        <v>14</v>
      </c>
      <c r="H55" s="2" t="s">
        <v>15</v>
      </c>
      <c r="I55" s="2" t="s">
        <v>16</v>
      </c>
      <c r="J55" s="2" t="s">
        <v>35</v>
      </c>
      <c r="K55" s="2" t="s">
        <v>17</v>
      </c>
      <c r="L55" s="2" t="s">
        <v>18</v>
      </c>
      <c r="M55" s="2" t="s">
        <v>19</v>
      </c>
      <c r="N55" s="2" t="s">
        <v>20</v>
      </c>
      <c r="O55" s="2" t="s">
        <v>21</v>
      </c>
    </row>
    <row r="56" spans="1:34" x14ac:dyDescent="0.2">
      <c r="A56" s="1" t="s">
        <v>1</v>
      </c>
      <c r="B56" s="5">
        <v>0</v>
      </c>
      <c r="C56" s="5">
        <v>50350</v>
      </c>
      <c r="D56" s="5">
        <v>0</v>
      </c>
      <c r="E56" s="5">
        <v>378.07613650000002</v>
      </c>
      <c r="F56" s="5">
        <v>0</v>
      </c>
      <c r="G56" s="5">
        <v>0</v>
      </c>
      <c r="H56" s="5">
        <v>0</v>
      </c>
      <c r="I56" s="5">
        <v>0</v>
      </c>
      <c r="J56" s="5">
        <v>203.42386350000001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</row>
    <row r="57" spans="1:34" x14ac:dyDescent="0.2">
      <c r="A57" s="1" t="s">
        <v>2</v>
      </c>
      <c r="B57" s="5">
        <v>0</v>
      </c>
      <c r="C57" s="5">
        <v>0</v>
      </c>
      <c r="D57" s="5">
        <v>0</v>
      </c>
      <c r="E57" s="5">
        <v>241.5484505</v>
      </c>
      <c r="F57" s="5">
        <v>0</v>
      </c>
      <c r="G57" s="5">
        <v>16430</v>
      </c>
      <c r="H57" s="5">
        <v>0</v>
      </c>
      <c r="I57" s="5">
        <v>0</v>
      </c>
      <c r="J57" s="5">
        <v>129.4515495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</row>
    <row r="58" spans="1:34" x14ac:dyDescent="0.2">
      <c r="A58" s="1" t="s">
        <v>3</v>
      </c>
      <c r="B58" s="5">
        <v>0</v>
      </c>
      <c r="C58" s="5">
        <v>0</v>
      </c>
      <c r="D58" s="5">
        <v>0</v>
      </c>
      <c r="E58" s="5">
        <v>78.767303749999996</v>
      </c>
      <c r="F58" s="5">
        <v>0</v>
      </c>
      <c r="G58" s="5">
        <v>0</v>
      </c>
      <c r="H58" s="5">
        <v>0</v>
      </c>
      <c r="I58" s="5">
        <v>6275</v>
      </c>
      <c r="J58" s="5">
        <v>46.232696249999996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</row>
    <row r="59" spans="1:34" x14ac:dyDescent="0.2">
      <c r="A59" s="1" t="s">
        <v>4</v>
      </c>
      <c r="B59" s="5">
        <v>0</v>
      </c>
      <c r="C59" s="5">
        <v>0</v>
      </c>
      <c r="D59" s="5">
        <v>0</v>
      </c>
      <c r="E59" s="5">
        <v>1390.53724225</v>
      </c>
      <c r="F59" s="5">
        <v>0</v>
      </c>
      <c r="G59" s="5">
        <v>0</v>
      </c>
      <c r="H59" s="5">
        <v>0</v>
      </c>
      <c r="I59" s="5">
        <v>0</v>
      </c>
      <c r="J59" s="5">
        <v>767.46275775000004</v>
      </c>
      <c r="K59" s="5">
        <v>0</v>
      </c>
      <c r="L59" s="5">
        <v>0</v>
      </c>
      <c r="M59" s="5">
        <v>44720</v>
      </c>
      <c r="N59" s="5">
        <v>0</v>
      </c>
      <c r="O59" s="5">
        <v>0</v>
      </c>
    </row>
    <row r="60" spans="1:34" x14ac:dyDescent="0.2">
      <c r="A60" s="1" t="s">
        <v>5</v>
      </c>
      <c r="B60" s="5">
        <v>0</v>
      </c>
      <c r="C60" s="5">
        <v>0</v>
      </c>
      <c r="D60" s="5">
        <v>0</v>
      </c>
      <c r="E60" s="5">
        <v>33.0069214999967</v>
      </c>
      <c r="F60" s="5">
        <v>0</v>
      </c>
      <c r="G60" s="5">
        <v>0</v>
      </c>
      <c r="H60" s="5">
        <v>0</v>
      </c>
      <c r="I60" s="5">
        <v>0</v>
      </c>
      <c r="J60" s="5">
        <v>18.493078499999999</v>
      </c>
      <c r="K60" s="5">
        <v>0</v>
      </c>
      <c r="L60" s="5">
        <v>42640</v>
      </c>
      <c r="M60" s="5">
        <v>0</v>
      </c>
      <c r="N60" s="5">
        <v>0</v>
      </c>
      <c r="O60" s="5">
        <v>0</v>
      </c>
    </row>
    <row r="61" spans="1:34" x14ac:dyDescent="0.2">
      <c r="A61" s="1" t="s">
        <v>6</v>
      </c>
      <c r="B61" s="5">
        <v>0</v>
      </c>
      <c r="C61" s="5">
        <v>0</v>
      </c>
      <c r="D61" s="5">
        <v>53000</v>
      </c>
      <c r="E61" s="5">
        <v>1775.6064572499999</v>
      </c>
      <c r="F61" s="5">
        <v>0</v>
      </c>
      <c r="G61" s="5">
        <v>0</v>
      </c>
      <c r="H61" s="5">
        <v>0</v>
      </c>
      <c r="I61" s="5">
        <v>0</v>
      </c>
      <c r="J61" s="5">
        <v>952.39354275000005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</row>
    <row r="62" spans="1:34" x14ac:dyDescent="0.2">
      <c r="A62" s="1" t="s">
        <v>7</v>
      </c>
      <c r="B62" s="5">
        <v>0</v>
      </c>
      <c r="C62" s="5">
        <v>0</v>
      </c>
      <c r="D62" s="5">
        <v>0</v>
      </c>
      <c r="E62" s="5">
        <v>3497.9525322499999</v>
      </c>
      <c r="F62" s="5">
        <v>21730</v>
      </c>
      <c r="G62" s="5">
        <v>0</v>
      </c>
      <c r="H62" s="5">
        <v>0</v>
      </c>
      <c r="I62" s="5">
        <v>0</v>
      </c>
      <c r="J62" s="5">
        <v>1877.0474677499999</v>
      </c>
      <c r="K62" s="5">
        <v>0</v>
      </c>
      <c r="L62" s="5">
        <v>0</v>
      </c>
      <c r="M62" s="5">
        <v>0</v>
      </c>
      <c r="N62" s="5">
        <v>28090</v>
      </c>
      <c r="O62" s="5">
        <v>0</v>
      </c>
    </row>
    <row r="63" spans="1:34" x14ac:dyDescent="0.2">
      <c r="A63" s="1" t="s">
        <v>8</v>
      </c>
      <c r="B63" s="5">
        <v>0</v>
      </c>
      <c r="C63" s="5">
        <v>0</v>
      </c>
      <c r="D63" s="5">
        <v>0</v>
      </c>
      <c r="E63" s="5">
        <v>517.603822500001</v>
      </c>
      <c r="F63" s="5">
        <v>0</v>
      </c>
      <c r="G63" s="5">
        <v>0</v>
      </c>
      <c r="H63" s="5">
        <v>0</v>
      </c>
      <c r="I63" s="5">
        <v>0</v>
      </c>
      <c r="J63" s="5">
        <v>277.39617750000002</v>
      </c>
      <c r="K63" s="5">
        <v>0</v>
      </c>
      <c r="L63" s="5">
        <v>0</v>
      </c>
      <c r="M63" s="5">
        <v>0</v>
      </c>
      <c r="N63" s="5">
        <v>0</v>
      </c>
      <c r="O63" s="5">
        <v>28090</v>
      </c>
    </row>
    <row r="64" spans="1:34" x14ac:dyDescent="0.2">
      <c r="A64" s="1" t="s">
        <v>9</v>
      </c>
      <c r="B64" s="5">
        <v>0</v>
      </c>
      <c r="C64" s="5">
        <v>0</v>
      </c>
      <c r="D64" s="5">
        <v>0</v>
      </c>
      <c r="E64" s="5">
        <v>6752.3427709999996</v>
      </c>
      <c r="F64" s="5">
        <v>0</v>
      </c>
      <c r="G64" s="5">
        <v>0</v>
      </c>
      <c r="H64" s="5">
        <v>6400</v>
      </c>
      <c r="I64" s="5">
        <v>0</v>
      </c>
      <c r="J64" s="5">
        <v>3587.6572289999999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</row>
    <row r="65" spans="1:15" x14ac:dyDescent="0.2">
      <c r="B65" s="17" t="s">
        <v>30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</row>
    <row r="68" spans="1:15" ht="172" x14ac:dyDescent="0.2">
      <c r="B68" s="2" t="s">
        <v>10</v>
      </c>
      <c r="C68" s="2" t="s">
        <v>11</v>
      </c>
      <c r="D68" s="2" t="s">
        <v>12</v>
      </c>
      <c r="E68" s="2" t="s">
        <v>34</v>
      </c>
      <c r="F68" s="2" t="s">
        <v>13</v>
      </c>
      <c r="G68" s="2" t="s">
        <v>14</v>
      </c>
      <c r="H68" s="2" t="s">
        <v>15</v>
      </c>
      <c r="I68" s="2" t="s">
        <v>16</v>
      </c>
      <c r="J68" s="2" t="s">
        <v>35</v>
      </c>
      <c r="K68" s="2" t="s">
        <v>17</v>
      </c>
      <c r="L68" s="2" t="s">
        <v>18</v>
      </c>
      <c r="M68" s="2" t="s">
        <v>19</v>
      </c>
      <c r="N68" s="2" t="s">
        <v>20</v>
      </c>
      <c r="O68" s="2" t="s">
        <v>21</v>
      </c>
    </row>
    <row r="69" spans="1:15" x14ac:dyDescent="0.2">
      <c r="A69" s="1" t="s">
        <v>31</v>
      </c>
      <c r="B69" s="3">
        <v>53000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1:15" x14ac:dyDescent="0.2">
      <c r="A70" s="1" t="s">
        <v>32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44720</v>
      </c>
      <c r="L70" s="3">
        <v>0</v>
      </c>
      <c r="M70" s="3">
        <v>0</v>
      </c>
      <c r="N70" s="3">
        <v>0</v>
      </c>
      <c r="O70" s="3">
        <v>0</v>
      </c>
    </row>
    <row r="71" spans="1:15" x14ac:dyDescent="0.2">
      <c r="B71" s="17" t="s">
        <v>33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</row>
  </sheetData>
  <mergeCells count="8">
    <mergeCell ref="B71:O71"/>
    <mergeCell ref="S52:AA52"/>
    <mergeCell ref="B65:O65"/>
    <mergeCell ref="AE52:AH52"/>
    <mergeCell ref="AE16:AM16"/>
    <mergeCell ref="S16:AA16"/>
    <mergeCell ref="S34:AA34"/>
    <mergeCell ref="B16"/>
  </mergeCells>
  <printOptions gridLines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73644-B629-5F45-9A68-323450968119}">
  <dimension ref="A1:IG87"/>
  <sheetViews>
    <sheetView tabSelected="1" topLeftCell="DR69" zoomScale="88" workbookViewId="0">
      <selection activeCell="EN88" sqref="EN88"/>
    </sheetView>
  </sheetViews>
  <sheetFormatPr baseColWidth="10" defaultColWidth="8.83203125" defaultRowHeight="15" x14ac:dyDescent="0.2"/>
  <cols>
    <col min="1" max="1" width="21.6640625" bestFit="1" customWidth="1"/>
    <col min="18" max="18" width="20.6640625" bestFit="1" customWidth="1"/>
    <col min="30" max="30" width="28.6640625" bestFit="1" customWidth="1"/>
    <col min="40" max="41" width="8.83203125" style="11"/>
    <col min="42" max="42" width="13.6640625" bestFit="1" customWidth="1"/>
    <col min="59" max="60" width="8.83203125" style="11"/>
    <col min="61" max="61" width="28.6640625" bestFit="1" customWidth="1"/>
    <col min="78" max="78" width="28.6640625" bestFit="1" customWidth="1"/>
    <col min="90" max="90" width="28.6640625" customWidth="1"/>
    <col min="91" max="99" width="8.83203125" customWidth="1"/>
    <col min="100" max="101" width="8.83203125" style="11" customWidth="1"/>
    <col min="102" max="102" width="28.6640625" customWidth="1"/>
    <col min="103" max="118" width="8.83203125" customWidth="1"/>
    <col min="119" max="119" width="28.6640625" bestFit="1" customWidth="1"/>
    <col min="131" max="131" width="28.6640625" bestFit="1" customWidth="1"/>
    <col min="141" max="142" width="8.83203125" style="11"/>
    <col min="143" max="143" width="13.6640625" bestFit="1" customWidth="1"/>
    <col min="152" max="157" width="9" bestFit="1" customWidth="1"/>
    <col min="159" max="159" width="9" bestFit="1" customWidth="1"/>
    <col min="160" max="161" width="8.83203125" style="11"/>
    <col min="162" max="162" width="16.6640625" bestFit="1" customWidth="1"/>
    <col min="163" max="176" width="9" bestFit="1" customWidth="1"/>
    <col min="178" max="178" width="8.83203125" customWidth="1"/>
    <col min="180" max="188" width="9" bestFit="1" customWidth="1"/>
    <col min="191" max="191" width="28.6640625" bestFit="1" customWidth="1"/>
    <col min="192" max="195" width="9" bestFit="1" customWidth="1"/>
    <col min="196" max="200" width="9" customWidth="1"/>
    <col min="201" max="202" width="8.83203125" style="11"/>
    <col min="203" max="203" width="16.6640625" bestFit="1" customWidth="1"/>
    <col min="232" max="232" width="28.6640625" bestFit="1" customWidth="1"/>
  </cols>
  <sheetData>
    <row r="1" spans="1:241" ht="93" x14ac:dyDescent="0.2">
      <c r="A1" s="19" t="s">
        <v>44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P1" s="21" t="s">
        <v>45</v>
      </c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I1" s="19" t="s">
        <v>46</v>
      </c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X1" s="19" t="s">
        <v>67</v>
      </c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M1" s="21" t="s">
        <v>50</v>
      </c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F1" s="19" t="s">
        <v>53</v>
      </c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U1" s="19" t="s">
        <v>66</v>
      </c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</row>
    <row r="2" spans="1:241" ht="82" x14ac:dyDescent="0.2">
      <c r="B2" s="2" t="s">
        <v>0</v>
      </c>
      <c r="S2" s="2" t="s">
        <v>1</v>
      </c>
      <c r="T2" s="2" t="s">
        <v>2</v>
      </c>
      <c r="U2" s="2" t="s">
        <v>3</v>
      </c>
      <c r="V2" s="2" t="s">
        <v>4</v>
      </c>
      <c r="W2" s="2" t="s">
        <v>5</v>
      </c>
      <c r="X2" s="2" t="s">
        <v>6</v>
      </c>
      <c r="Y2" s="2" t="s">
        <v>7</v>
      </c>
      <c r="Z2" s="2" t="s">
        <v>8</v>
      </c>
      <c r="AA2" s="2" t="s">
        <v>9</v>
      </c>
      <c r="AE2" s="2" t="s">
        <v>1</v>
      </c>
      <c r="AF2" s="2" t="s">
        <v>2</v>
      </c>
      <c r="AG2" s="2" t="s">
        <v>3</v>
      </c>
      <c r="AH2" s="2" t="s">
        <v>4</v>
      </c>
      <c r="AI2" s="2" t="s">
        <v>5</v>
      </c>
      <c r="AJ2" s="2" t="s">
        <v>6</v>
      </c>
      <c r="AK2" s="2" t="s">
        <v>7</v>
      </c>
      <c r="AL2" s="2" t="s">
        <v>8</v>
      </c>
      <c r="AM2" s="2" t="s">
        <v>9</v>
      </c>
      <c r="CA2" s="2" t="str">
        <f t="shared" ref="CA2:CI2" si="0">S2</f>
        <v>Crude dist.</v>
      </c>
      <c r="CB2" s="2" t="str">
        <f t="shared" si="0"/>
        <v>Diesel dist.</v>
      </c>
      <c r="CC2" s="2" t="str">
        <f t="shared" si="0"/>
        <v>Elect. grid</v>
      </c>
      <c r="CD2" s="2" t="str">
        <f t="shared" si="0"/>
        <v>Gas wells &amp; proc.</v>
      </c>
      <c r="CE2" s="2" t="str">
        <f t="shared" si="0"/>
        <v>NG dist.</v>
      </c>
      <c r="CF2" s="2" t="str">
        <f t="shared" si="0"/>
        <v>Oil fields</v>
      </c>
      <c r="CG2" s="2" t="str">
        <f t="shared" si="0"/>
        <v>Oil refineries</v>
      </c>
      <c r="CH2" s="2" t="str">
        <f t="shared" si="0"/>
        <v>Petrol dist.</v>
      </c>
      <c r="CI2" s="2" t="str">
        <f t="shared" si="0"/>
        <v>Power plants</v>
      </c>
      <c r="CM2" s="2" t="str">
        <f t="shared" ref="CM2:CU2" si="1">AE2</f>
        <v>Crude dist.</v>
      </c>
      <c r="CN2" s="2" t="str">
        <f t="shared" si="1"/>
        <v>Diesel dist.</v>
      </c>
      <c r="CO2" s="2" t="str">
        <f t="shared" si="1"/>
        <v>Elect. grid</v>
      </c>
      <c r="CP2" s="2" t="str">
        <f t="shared" si="1"/>
        <v>Gas wells &amp; proc.</v>
      </c>
      <c r="CQ2" s="2" t="str">
        <f t="shared" si="1"/>
        <v>NG dist.</v>
      </c>
      <c r="CR2" s="2" t="str">
        <f t="shared" si="1"/>
        <v>Oil fields</v>
      </c>
      <c r="CS2" s="2" t="str">
        <f t="shared" si="1"/>
        <v>Oil refineries</v>
      </c>
      <c r="CT2" s="2" t="str">
        <f t="shared" si="1"/>
        <v>Petrol dist.</v>
      </c>
      <c r="CU2" s="2" t="str">
        <f t="shared" si="1"/>
        <v>Power plants</v>
      </c>
      <c r="DP2" s="2" t="s">
        <v>1</v>
      </c>
      <c r="DQ2" s="2" t="s">
        <v>2</v>
      </c>
      <c r="DR2" s="2" t="s">
        <v>3</v>
      </c>
      <c r="DS2" s="2" t="s">
        <v>4</v>
      </c>
      <c r="DT2" s="2" t="s">
        <v>5</v>
      </c>
      <c r="DU2" s="2" t="s">
        <v>6</v>
      </c>
      <c r="DV2" s="2" t="s">
        <v>7</v>
      </c>
      <c r="DW2" s="2" t="s">
        <v>8</v>
      </c>
      <c r="DX2" s="2" t="s">
        <v>9</v>
      </c>
      <c r="EB2" s="2" t="s">
        <v>1</v>
      </c>
      <c r="EC2" s="2" t="s">
        <v>2</v>
      </c>
      <c r="ED2" s="2" t="s">
        <v>3</v>
      </c>
      <c r="EE2" s="2" t="s">
        <v>4</v>
      </c>
      <c r="EF2" s="2" t="s">
        <v>5</v>
      </c>
      <c r="EG2" s="2" t="s">
        <v>6</v>
      </c>
      <c r="EH2" s="2" t="s">
        <v>7</v>
      </c>
      <c r="EI2" s="2" t="s">
        <v>8</v>
      </c>
      <c r="EJ2" s="2" t="s">
        <v>9</v>
      </c>
      <c r="FX2" t="str">
        <f t="shared" ref="FX2:GR2" si="2">DP2</f>
        <v>Crude dist.</v>
      </c>
      <c r="FY2" t="str">
        <f t="shared" si="2"/>
        <v>Diesel dist.</v>
      </c>
      <c r="FZ2" t="str">
        <f t="shared" si="2"/>
        <v>Elect. grid</v>
      </c>
      <c r="GA2" t="str">
        <f t="shared" si="2"/>
        <v>Gas wells &amp; proc.</v>
      </c>
      <c r="GB2" t="str">
        <f t="shared" si="2"/>
        <v>NG dist.</v>
      </c>
      <c r="GC2" t="str">
        <f t="shared" si="2"/>
        <v>Oil fields</v>
      </c>
      <c r="GD2" t="str">
        <f t="shared" si="2"/>
        <v>Oil refineries</v>
      </c>
      <c r="GE2" t="str">
        <f t="shared" si="2"/>
        <v>Petrol dist.</v>
      </c>
      <c r="GF2" t="str">
        <f t="shared" si="2"/>
        <v>Power plants</v>
      </c>
      <c r="GJ2" t="str">
        <f t="shared" si="2"/>
        <v>Crude dist.</v>
      </c>
      <c r="GK2" t="str">
        <f t="shared" si="2"/>
        <v>Diesel dist.</v>
      </c>
      <c r="GL2" t="str">
        <f t="shared" si="2"/>
        <v>Elect. grid</v>
      </c>
      <c r="GM2" t="str">
        <f t="shared" si="2"/>
        <v>Gas wells &amp; proc.</v>
      </c>
      <c r="GN2" t="str">
        <f t="shared" si="2"/>
        <v>NG dist.</v>
      </c>
      <c r="GO2" t="str">
        <f t="shared" si="2"/>
        <v>Oil fields</v>
      </c>
      <c r="GP2" t="str">
        <f t="shared" si="2"/>
        <v>Oil refineries</v>
      </c>
      <c r="GQ2" t="str">
        <f t="shared" si="2"/>
        <v>Petrol dist.</v>
      </c>
      <c r="GR2" t="str">
        <f t="shared" si="2"/>
        <v>Power plants</v>
      </c>
      <c r="HM2" s="2" t="s">
        <v>1</v>
      </c>
      <c r="HN2" s="2" t="s">
        <v>2</v>
      </c>
      <c r="HO2" s="2" t="s">
        <v>3</v>
      </c>
      <c r="HP2" s="2" t="s">
        <v>4</v>
      </c>
      <c r="HQ2" s="2" t="s">
        <v>5</v>
      </c>
      <c r="HR2" s="2" t="s">
        <v>6</v>
      </c>
      <c r="HS2" s="2" t="s">
        <v>7</v>
      </c>
      <c r="HT2" s="2" t="s">
        <v>8</v>
      </c>
      <c r="HU2" s="2" t="s">
        <v>9</v>
      </c>
      <c r="HY2" s="2" t="s">
        <v>1</v>
      </c>
      <c r="HZ2" s="2" t="s">
        <v>2</v>
      </c>
      <c r="IA2" s="2" t="s">
        <v>3</v>
      </c>
      <c r="IB2" s="2" t="s">
        <v>4</v>
      </c>
      <c r="IC2" s="2" t="s">
        <v>5</v>
      </c>
      <c r="ID2" s="2" t="s">
        <v>6</v>
      </c>
      <c r="IE2" s="2" t="s">
        <v>7</v>
      </c>
      <c r="IF2" s="2" t="s">
        <v>8</v>
      </c>
      <c r="IG2" s="2" t="s">
        <v>9</v>
      </c>
    </row>
    <row r="3" spans="1:241" x14ac:dyDescent="0.2">
      <c r="A3" s="1" t="s">
        <v>10</v>
      </c>
      <c r="B3" s="6">
        <v>1</v>
      </c>
      <c r="R3" s="1" t="s">
        <v>10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D3" s="1" t="s">
        <v>10</v>
      </c>
      <c r="AE3" s="6">
        <v>0</v>
      </c>
      <c r="AF3" s="6">
        <v>0</v>
      </c>
      <c r="AG3" s="9">
        <v>0</v>
      </c>
      <c r="AH3" s="9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BZ3" s="1" t="str">
        <f t="shared" ref="BZ3:BZ16" si="3">R3</f>
        <v>Crude</v>
      </c>
      <c r="CA3" s="9">
        <f t="shared" ref="CA3:CA16" si="4">S3</f>
        <v>0</v>
      </c>
      <c r="CB3" s="9">
        <f t="shared" ref="CB3:CB16" si="5">T3</f>
        <v>0</v>
      </c>
      <c r="CC3" s="9">
        <f t="shared" ref="CC3:CC16" si="6">U3</f>
        <v>0</v>
      </c>
      <c r="CD3" s="9">
        <f t="shared" ref="CD3:CD16" si="7">V3</f>
        <v>0</v>
      </c>
      <c r="CE3" s="9">
        <f t="shared" ref="CE3:CE16" si="8">W3</f>
        <v>0</v>
      </c>
      <c r="CF3" s="9">
        <f t="shared" ref="CF3:CF16" si="9">X3</f>
        <v>0</v>
      </c>
      <c r="CG3" s="9">
        <f t="shared" ref="CG3:CG16" si="10">Y3</f>
        <v>0</v>
      </c>
      <c r="CH3" s="9">
        <f t="shared" ref="CH3:CH16" si="11">Z3</f>
        <v>0</v>
      </c>
      <c r="CI3" s="9">
        <f t="shared" ref="CI3:CI16" si="12">AA3</f>
        <v>0</v>
      </c>
      <c r="CL3" s="1" t="str">
        <f t="shared" ref="CL3:CL16" si="13">AD3</f>
        <v>Crude</v>
      </c>
      <c r="CM3" s="9">
        <f t="shared" ref="CM3:CM16" si="14">AE3</f>
        <v>0</v>
      </c>
      <c r="CN3" s="9">
        <f t="shared" ref="CN3:CN16" si="15">AF3</f>
        <v>0</v>
      </c>
      <c r="CO3" s="9">
        <f t="shared" ref="CO3:CO16" si="16">AG3</f>
        <v>0</v>
      </c>
      <c r="CP3" s="9">
        <f t="shared" ref="CP3:CP16" si="17">AH3</f>
        <v>0</v>
      </c>
      <c r="CQ3" s="9">
        <f t="shared" ref="CQ3:CQ16" si="18">AI3</f>
        <v>0</v>
      </c>
      <c r="CR3" s="9">
        <f t="shared" ref="CR3:CR16" si="19">AJ3</f>
        <v>0</v>
      </c>
      <c r="CS3" s="9">
        <f t="shared" ref="CS3:CS16" si="20">AK3</f>
        <v>0</v>
      </c>
      <c r="CT3" s="9">
        <f t="shared" ref="CT3:CT16" si="21">AL3</f>
        <v>0</v>
      </c>
      <c r="CU3" s="9">
        <f t="shared" ref="CU3:CU16" si="22">AM3</f>
        <v>0</v>
      </c>
      <c r="DO3" s="1" t="s">
        <v>10</v>
      </c>
      <c r="DP3" s="9">
        <v>0</v>
      </c>
      <c r="DQ3" s="9">
        <v>0</v>
      </c>
      <c r="DR3" s="9">
        <v>0</v>
      </c>
      <c r="DS3" s="9">
        <v>0</v>
      </c>
      <c r="DT3" s="9">
        <v>0</v>
      </c>
      <c r="DU3" s="9">
        <v>0</v>
      </c>
      <c r="DV3" s="9">
        <v>0</v>
      </c>
      <c r="DW3" s="9">
        <v>0</v>
      </c>
      <c r="DX3" s="9">
        <v>0</v>
      </c>
      <c r="EA3" s="1" t="s">
        <v>10</v>
      </c>
      <c r="EB3" s="9">
        <v>0</v>
      </c>
      <c r="EC3" s="9">
        <v>0</v>
      </c>
      <c r="ED3" s="9">
        <v>0</v>
      </c>
      <c r="EE3" s="9">
        <v>0</v>
      </c>
      <c r="EF3" s="9">
        <v>0</v>
      </c>
      <c r="EG3" s="9">
        <f t="shared" ref="EG3" si="23">DU3/DU39</f>
        <v>0</v>
      </c>
      <c r="EH3" s="9">
        <v>0</v>
      </c>
      <c r="EI3" s="9">
        <v>0</v>
      </c>
      <c r="EJ3" s="9">
        <v>0</v>
      </c>
      <c r="FW3" s="1" t="str">
        <f t="shared" ref="FW3:FW34" si="24">DO3</f>
        <v>Crude</v>
      </c>
      <c r="FX3" s="9">
        <f t="shared" ref="FX3:FX35" si="25">DP3</f>
        <v>0</v>
      </c>
      <c r="FY3" s="9">
        <f t="shared" ref="FY3:FY34" si="26">DQ3</f>
        <v>0</v>
      </c>
      <c r="FZ3" s="9">
        <f t="shared" ref="FZ3:FZ34" si="27">DR3</f>
        <v>0</v>
      </c>
      <c r="GA3" s="9">
        <f t="shared" ref="GA3:GA34" si="28">DS3</f>
        <v>0</v>
      </c>
      <c r="GB3" s="9">
        <f t="shared" ref="GB3:GB34" si="29">DT3</f>
        <v>0</v>
      </c>
      <c r="GC3" s="9">
        <f t="shared" ref="GC3:GC34" si="30">DU3</f>
        <v>0</v>
      </c>
      <c r="GD3" s="9">
        <f t="shared" ref="GD3:GD34" si="31">DV3</f>
        <v>0</v>
      </c>
      <c r="GE3" s="9">
        <f t="shared" ref="GE3:GE34" si="32">DW3</f>
        <v>0</v>
      </c>
      <c r="GF3" s="9">
        <f t="shared" ref="GF3:GF34" si="33">DX3</f>
        <v>0</v>
      </c>
      <c r="GI3" s="1" t="str">
        <f t="shared" ref="GI3:GI16" si="34">EA3</f>
        <v>Crude</v>
      </c>
      <c r="GJ3" s="9">
        <f t="shared" ref="GJ3:GJ17" si="35">EB3</f>
        <v>0</v>
      </c>
      <c r="GK3" s="9">
        <f t="shared" ref="GK3:GK16" si="36">EC3</f>
        <v>0</v>
      </c>
      <c r="GL3" s="9">
        <f t="shared" ref="GL3:GL16" si="37">ED3</f>
        <v>0</v>
      </c>
      <c r="GM3" s="9">
        <f t="shared" ref="GM3:GM16" si="38">EE3</f>
        <v>0</v>
      </c>
      <c r="GN3" s="9">
        <f t="shared" ref="GN3:GN16" si="39">EF3</f>
        <v>0</v>
      </c>
      <c r="GO3" s="9">
        <f t="shared" ref="GO3:GO16" si="40">EG3</f>
        <v>0</v>
      </c>
      <c r="GP3" s="9">
        <f t="shared" ref="GP3:GP16" si="41">EH3</f>
        <v>0</v>
      </c>
      <c r="GQ3" s="9">
        <f t="shared" ref="GQ3:GQ16" si="42">EI3</f>
        <v>0</v>
      </c>
      <c r="GR3" s="9">
        <f t="shared" ref="GR3:GR16" si="43">EJ3</f>
        <v>0</v>
      </c>
      <c r="HL3" s="1" t="s">
        <v>10</v>
      </c>
      <c r="HM3" s="13">
        <f>FX3-X_Final_2000!S2</f>
        <v>0</v>
      </c>
      <c r="HN3" s="13">
        <f>FY3-X_Final_2000!T2</f>
        <v>0</v>
      </c>
      <c r="HO3" s="13">
        <f>FZ3-X_Final_2000!U2</f>
        <v>0</v>
      </c>
      <c r="HP3" s="13">
        <f>GA3-X_Final_2000!V2</f>
        <v>0</v>
      </c>
      <c r="HQ3" s="13">
        <f>GB3-X_Final_2000!W2</f>
        <v>0</v>
      </c>
      <c r="HR3" s="13">
        <f>GC3-X_Final_2000!X2</f>
        <v>0</v>
      </c>
      <c r="HS3" s="13">
        <f>GD3-X_Final_2000!Y2</f>
        <v>0</v>
      </c>
      <c r="HT3" s="13">
        <f>GE3-X_Final_2000!Z2</f>
        <v>0</v>
      </c>
      <c r="HU3" s="13">
        <f>GF3-X_Final_2000!AA2</f>
        <v>0</v>
      </c>
      <c r="HX3" s="1" t="s">
        <v>10</v>
      </c>
      <c r="HY3" s="13">
        <f>GJ3-X_Final_2000!AE2</f>
        <v>0</v>
      </c>
      <c r="HZ3" s="13">
        <f>GK3-X_Final_2000!AF2</f>
        <v>0</v>
      </c>
      <c r="IA3" s="13">
        <f>GL3-X_Final_2000!AG2</f>
        <v>0</v>
      </c>
      <c r="IB3" s="13">
        <f>GM3-X_Final_2000!AH2</f>
        <v>0</v>
      </c>
      <c r="IC3" s="13">
        <f>GN3-X_Final_2000!AI2</f>
        <v>0</v>
      </c>
      <c r="ID3" s="13">
        <f>GO3-X_Final_2000!AJ2</f>
        <v>0</v>
      </c>
      <c r="IE3" s="13">
        <f>GP3-X_Final_2000!AK2</f>
        <v>0</v>
      </c>
      <c r="IF3" s="13">
        <f>GQ3-X_Final_2000!AL2</f>
        <v>0</v>
      </c>
      <c r="IG3" s="13">
        <f>GR3-X_Final_2000!AM2</f>
        <v>0</v>
      </c>
    </row>
    <row r="4" spans="1:241" x14ac:dyDescent="0.2">
      <c r="A4" s="1" t="s">
        <v>11</v>
      </c>
      <c r="B4" s="6">
        <v>1</v>
      </c>
      <c r="R4" s="1" t="s">
        <v>11</v>
      </c>
      <c r="S4" s="6">
        <v>500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D4" s="1" t="s">
        <v>11</v>
      </c>
      <c r="AE4" s="6">
        <v>1</v>
      </c>
      <c r="AF4" s="6">
        <v>0</v>
      </c>
      <c r="AG4" s="9">
        <v>0</v>
      </c>
      <c r="AH4" s="9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BZ4" s="1" t="str">
        <f t="shared" si="3"/>
        <v>Crude [from Dist.]</v>
      </c>
      <c r="CA4" s="9">
        <f t="shared" si="4"/>
        <v>500</v>
      </c>
      <c r="CB4" s="9">
        <f t="shared" si="5"/>
        <v>0</v>
      </c>
      <c r="CC4" s="9">
        <f t="shared" si="6"/>
        <v>0</v>
      </c>
      <c r="CD4" s="9">
        <f t="shared" si="7"/>
        <v>0</v>
      </c>
      <c r="CE4" s="9">
        <f t="shared" si="8"/>
        <v>0</v>
      </c>
      <c r="CF4" s="9">
        <f t="shared" si="9"/>
        <v>0</v>
      </c>
      <c r="CG4" s="9">
        <f t="shared" si="10"/>
        <v>0</v>
      </c>
      <c r="CH4" s="9">
        <f t="shared" si="11"/>
        <v>0</v>
      </c>
      <c r="CI4" s="9">
        <f t="shared" si="12"/>
        <v>0</v>
      </c>
      <c r="CL4" s="1" t="str">
        <f t="shared" si="13"/>
        <v>Crude [from Dist.]</v>
      </c>
      <c r="CM4" s="9">
        <f t="shared" si="14"/>
        <v>1</v>
      </c>
      <c r="CN4" s="9">
        <f t="shared" si="15"/>
        <v>0</v>
      </c>
      <c r="CO4" s="9">
        <f t="shared" si="16"/>
        <v>0</v>
      </c>
      <c r="CP4" s="9">
        <f t="shared" si="17"/>
        <v>0</v>
      </c>
      <c r="CQ4" s="9">
        <f t="shared" si="18"/>
        <v>0</v>
      </c>
      <c r="CR4" s="9">
        <f t="shared" si="19"/>
        <v>0</v>
      </c>
      <c r="CS4" s="9">
        <f t="shared" si="20"/>
        <v>0</v>
      </c>
      <c r="CT4" s="9">
        <f t="shared" si="21"/>
        <v>0</v>
      </c>
      <c r="CU4" s="9">
        <f t="shared" si="22"/>
        <v>0</v>
      </c>
      <c r="DO4" s="1" t="s">
        <v>11</v>
      </c>
      <c r="DP4" s="9">
        <f>DP40</f>
        <v>530</v>
      </c>
      <c r="DQ4" s="9">
        <v>0</v>
      </c>
      <c r="DR4" s="9">
        <v>0</v>
      </c>
      <c r="DS4" s="9">
        <v>0</v>
      </c>
      <c r="DT4" s="9">
        <v>0</v>
      </c>
      <c r="DU4" s="9">
        <v>0</v>
      </c>
      <c r="DV4" s="9">
        <v>0</v>
      </c>
      <c r="DW4" s="9">
        <v>0</v>
      </c>
      <c r="DX4" s="9">
        <v>0</v>
      </c>
      <c r="EA4" s="1" t="s">
        <v>11</v>
      </c>
      <c r="EB4" s="9">
        <f t="shared" ref="EB4:EB10" si="44">DP4/DP40</f>
        <v>1</v>
      </c>
      <c r="EC4" s="9">
        <v>0</v>
      </c>
      <c r="ED4" s="9">
        <v>0</v>
      </c>
      <c r="EE4" s="9">
        <v>0</v>
      </c>
      <c r="EF4" s="9">
        <v>0</v>
      </c>
      <c r="EG4" s="9">
        <v>0</v>
      </c>
      <c r="EH4" s="9">
        <f t="shared" ref="EH4:EH10" si="45">DV4/DV40</f>
        <v>0</v>
      </c>
      <c r="EI4" s="9">
        <v>0</v>
      </c>
      <c r="EJ4" s="9">
        <v>0</v>
      </c>
      <c r="FW4" s="1" t="str">
        <f t="shared" si="24"/>
        <v>Crude [from Dist.]</v>
      </c>
      <c r="FX4" s="9">
        <f t="shared" si="25"/>
        <v>530</v>
      </c>
      <c r="FY4" s="9">
        <f t="shared" si="26"/>
        <v>0</v>
      </c>
      <c r="FZ4" s="9">
        <f t="shared" si="27"/>
        <v>0</v>
      </c>
      <c r="GA4" s="9">
        <f t="shared" si="28"/>
        <v>0</v>
      </c>
      <c r="GB4" s="9">
        <f t="shared" si="29"/>
        <v>0</v>
      </c>
      <c r="GC4" s="9">
        <f t="shared" si="30"/>
        <v>0</v>
      </c>
      <c r="GD4" s="9">
        <f t="shared" si="31"/>
        <v>0</v>
      </c>
      <c r="GE4" s="9">
        <f t="shared" si="32"/>
        <v>0</v>
      </c>
      <c r="GF4" s="9">
        <f t="shared" si="33"/>
        <v>0</v>
      </c>
      <c r="GI4" s="1" t="str">
        <f t="shared" si="34"/>
        <v>Crude [from Dist.]</v>
      </c>
      <c r="GJ4" s="9">
        <f t="shared" si="35"/>
        <v>1</v>
      </c>
      <c r="GK4" s="9">
        <f t="shared" si="36"/>
        <v>0</v>
      </c>
      <c r="GL4" s="9">
        <f t="shared" si="37"/>
        <v>0</v>
      </c>
      <c r="GM4" s="9">
        <f t="shared" si="38"/>
        <v>0</v>
      </c>
      <c r="GN4" s="9">
        <f t="shared" si="39"/>
        <v>0</v>
      </c>
      <c r="GO4" s="9">
        <f t="shared" si="40"/>
        <v>0</v>
      </c>
      <c r="GP4" s="9">
        <f t="shared" si="41"/>
        <v>0</v>
      </c>
      <c r="GQ4" s="9">
        <f t="shared" si="42"/>
        <v>0</v>
      </c>
      <c r="GR4" s="9">
        <f t="shared" si="43"/>
        <v>0</v>
      </c>
      <c r="HL4" s="1" t="s">
        <v>11</v>
      </c>
      <c r="HM4" s="13">
        <f>FX4-X_Final_2000!S3</f>
        <v>0</v>
      </c>
      <c r="HN4" s="13">
        <f>FY4-X_Final_2000!T3</f>
        <v>0</v>
      </c>
      <c r="HO4" s="13">
        <f>FZ4-X_Final_2000!U3</f>
        <v>0</v>
      </c>
      <c r="HP4" s="13">
        <f>GA4-X_Final_2000!V3</f>
        <v>0</v>
      </c>
      <c r="HQ4" s="13">
        <f>GB4-X_Final_2000!W3</f>
        <v>0</v>
      </c>
      <c r="HR4" s="13">
        <f>GC4-X_Final_2000!X3</f>
        <v>0</v>
      </c>
      <c r="HS4" s="13">
        <f>GD4-X_Final_2000!Y3</f>
        <v>0</v>
      </c>
      <c r="HT4" s="13">
        <f>GE4-X_Final_2000!Z3</f>
        <v>0</v>
      </c>
      <c r="HU4" s="13">
        <f>GF4-X_Final_2000!AA3</f>
        <v>0</v>
      </c>
      <c r="HX4" s="1" t="s">
        <v>11</v>
      </c>
      <c r="HY4" s="13">
        <f>GJ4-X_Final_2000!AE3</f>
        <v>0</v>
      </c>
      <c r="HZ4" s="13">
        <f>GK4-X_Final_2000!AF3</f>
        <v>0</v>
      </c>
      <c r="IA4" s="13">
        <f>GL4-X_Final_2000!AG3</f>
        <v>0</v>
      </c>
      <c r="IB4" s="13">
        <f>GM4-X_Final_2000!AH3</f>
        <v>0</v>
      </c>
      <c r="IC4" s="13">
        <f>GN4-X_Final_2000!AI3</f>
        <v>0</v>
      </c>
      <c r="ID4" s="13">
        <f>GO4-X_Final_2000!AJ3</f>
        <v>0</v>
      </c>
      <c r="IE4" s="13">
        <f>GP4-X_Final_2000!AK3</f>
        <v>0</v>
      </c>
      <c r="IF4" s="13">
        <f>GQ4-X_Final_2000!AL3</f>
        <v>0</v>
      </c>
      <c r="IG4" s="13">
        <f>GR4-X_Final_2000!AM3</f>
        <v>0</v>
      </c>
    </row>
    <row r="5" spans="1:241" x14ac:dyDescent="0.2">
      <c r="A5" s="1" t="s">
        <v>12</v>
      </c>
      <c r="B5" s="6">
        <v>1</v>
      </c>
      <c r="R5" s="1" t="s">
        <v>12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2500</v>
      </c>
      <c r="Y5" s="6">
        <v>0</v>
      </c>
      <c r="Z5" s="6">
        <v>0</v>
      </c>
      <c r="AA5" s="6">
        <v>0</v>
      </c>
      <c r="AD5" s="1" t="s">
        <v>12</v>
      </c>
      <c r="AE5" s="6">
        <v>0</v>
      </c>
      <c r="AF5" s="6">
        <v>0</v>
      </c>
      <c r="AG5" s="9">
        <v>0</v>
      </c>
      <c r="AH5" s="9">
        <v>0</v>
      </c>
      <c r="AI5" s="6">
        <v>0</v>
      </c>
      <c r="AJ5" s="6">
        <v>1</v>
      </c>
      <c r="AK5" s="6">
        <v>0</v>
      </c>
      <c r="AL5" s="6">
        <v>0</v>
      </c>
      <c r="AM5" s="6">
        <v>0</v>
      </c>
      <c r="BZ5" s="1" t="str">
        <f t="shared" si="3"/>
        <v>Crude [from Fields]</v>
      </c>
      <c r="CA5" s="9">
        <f t="shared" si="4"/>
        <v>0</v>
      </c>
      <c r="CB5" s="9">
        <f t="shared" si="5"/>
        <v>0</v>
      </c>
      <c r="CC5" s="9">
        <f t="shared" si="6"/>
        <v>0</v>
      </c>
      <c r="CD5" s="9">
        <f t="shared" si="7"/>
        <v>0</v>
      </c>
      <c r="CE5" s="9">
        <f t="shared" si="8"/>
        <v>0</v>
      </c>
      <c r="CF5" s="9">
        <f t="shared" si="9"/>
        <v>2500</v>
      </c>
      <c r="CG5" s="9">
        <f t="shared" si="10"/>
        <v>0</v>
      </c>
      <c r="CH5" s="9">
        <f t="shared" si="11"/>
        <v>0</v>
      </c>
      <c r="CI5" s="9">
        <f t="shared" si="12"/>
        <v>0</v>
      </c>
      <c r="CL5" s="1" t="str">
        <f t="shared" si="13"/>
        <v>Crude [from Fields]</v>
      </c>
      <c r="CM5" s="9">
        <f t="shared" si="14"/>
        <v>0</v>
      </c>
      <c r="CN5" s="9">
        <f t="shared" si="15"/>
        <v>0</v>
      </c>
      <c r="CO5" s="9">
        <f t="shared" si="16"/>
        <v>0</v>
      </c>
      <c r="CP5" s="9">
        <f t="shared" si="17"/>
        <v>0</v>
      </c>
      <c r="CQ5" s="9">
        <f t="shared" si="18"/>
        <v>0</v>
      </c>
      <c r="CR5" s="9">
        <f t="shared" si="19"/>
        <v>1</v>
      </c>
      <c r="CS5" s="9">
        <f t="shared" si="20"/>
        <v>0</v>
      </c>
      <c r="CT5" s="9">
        <f t="shared" si="21"/>
        <v>0</v>
      </c>
      <c r="CU5" s="9">
        <f t="shared" si="22"/>
        <v>0</v>
      </c>
      <c r="DO5" s="1" t="s">
        <v>12</v>
      </c>
      <c r="DP5" s="9">
        <v>0</v>
      </c>
      <c r="DQ5" s="9">
        <v>0</v>
      </c>
      <c r="DR5" s="9">
        <v>0</v>
      </c>
      <c r="DS5" s="9">
        <v>0</v>
      </c>
      <c r="DT5" s="9">
        <v>0</v>
      </c>
      <c r="DU5" s="9">
        <f>DU41</f>
        <v>2650</v>
      </c>
      <c r="DV5" s="9">
        <v>0</v>
      </c>
      <c r="DW5" s="9">
        <v>0</v>
      </c>
      <c r="DX5" s="9">
        <v>0</v>
      </c>
      <c r="EA5" s="1" t="s">
        <v>12</v>
      </c>
      <c r="EB5" s="9">
        <f t="shared" si="44"/>
        <v>0</v>
      </c>
      <c r="EC5" s="9">
        <v>0</v>
      </c>
      <c r="ED5" s="9">
        <v>0</v>
      </c>
      <c r="EE5" s="9">
        <v>0</v>
      </c>
      <c r="EF5" s="9">
        <v>0</v>
      </c>
      <c r="EG5" s="9">
        <f t="shared" ref="EG5:EG10" si="46">DU5/DU41</f>
        <v>1</v>
      </c>
      <c r="EH5" s="9">
        <v>0</v>
      </c>
      <c r="EI5" s="9">
        <v>0</v>
      </c>
      <c r="EJ5" s="9">
        <v>0</v>
      </c>
      <c r="FW5" s="1" t="str">
        <f t="shared" si="24"/>
        <v>Crude [from Fields]</v>
      </c>
      <c r="FX5" s="9">
        <f t="shared" si="25"/>
        <v>0</v>
      </c>
      <c r="FY5" s="9">
        <f t="shared" si="26"/>
        <v>0</v>
      </c>
      <c r="FZ5" s="9">
        <f t="shared" si="27"/>
        <v>0</v>
      </c>
      <c r="GA5" s="9">
        <f t="shared" si="28"/>
        <v>0</v>
      </c>
      <c r="GB5" s="9">
        <f t="shared" si="29"/>
        <v>0</v>
      </c>
      <c r="GC5" s="9">
        <f t="shared" si="30"/>
        <v>2650</v>
      </c>
      <c r="GD5" s="9">
        <f t="shared" si="31"/>
        <v>0</v>
      </c>
      <c r="GE5" s="9">
        <f t="shared" si="32"/>
        <v>0</v>
      </c>
      <c r="GF5" s="9">
        <f t="shared" si="33"/>
        <v>0</v>
      </c>
      <c r="GI5" s="1" t="str">
        <f t="shared" si="34"/>
        <v>Crude [from Fields]</v>
      </c>
      <c r="GJ5" s="9">
        <f t="shared" si="35"/>
        <v>0</v>
      </c>
      <c r="GK5" s="9">
        <f t="shared" si="36"/>
        <v>0</v>
      </c>
      <c r="GL5" s="9">
        <f t="shared" si="37"/>
        <v>0</v>
      </c>
      <c r="GM5" s="9">
        <f t="shared" si="38"/>
        <v>0</v>
      </c>
      <c r="GN5" s="9">
        <f t="shared" si="39"/>
        <v>0</v>
      </c>
      <c r="GO5" s="9">
        <f t="shared" si="40"/>
        <v>1</v>
      </c>
      <c r="GP5" s="9">
        <f t="shared" si="41"/>
        <v>0</v>
      </c>
      <c r="GQ5" s="9">
        <f t="shared" si="42"/>
        <v>0</v>
      </c>
      <c r="GR5" s="9">
        <f t="shared" si="43"/>
        <v>0</v>
      </c>
      <c r="HL5" s="1" t="s">
        <v>12</v>
      </c>
      <c r="HM5" s="13">
        <f>FX5-X_Final_2000!S4</f>
        <v>0</v>
      </c>
      <c r="HN5" s="13">
        <f>FY5-X_Final_2000!T4</f>
        <v>0</v>
      </c>
      <c r="HO5" s="13">
        <f>FZ5-X_Final_2000!U4</f>
        <v>0</v>
      </c>
      <c r="HP5" s="13">
        <f>GA5-X_Final_2000!V4</f>
        <v>0</v>
      </c>
      <c r="HQ5" s="13">
        <f>GB5-X_Final_2000!W4</f>
        <v>0</v>
      </c>
      <c r="HR5" s="13">
        <f>GC5-X_Final_2000!X4</f>
        <v>0</v>
      </c>
      <c r="HS5" s="13">
        <f>GD5-X_Final_2000!Y4</f>
        <v>0</v>
      </c>
      <c r="HT5" s="13">
        <f>GE5-X_Final_2000!Z4</f>
        <v>0</v>
      </c>
      <c r="HU5" s="13">
        <f>GF5-X_Final_2000!AA4</f>
        <v>0</v>
      </c>
      <c r="HX5" s="1" t="s">
        <v>12</v>
      </c>
      <c r="HY5" s="13">
        <f>GJ5-X_Final_2000!AE4</f>
        <v>0</v>
      </c>
      <c r="HZ5" s="13">
        <f>GK5-X_Final_2000!AF4</f>
        <v>0</v>
      </c>
      <c r="IA5" s="13">
        <f>GL5-X_Final_2000!AG4</f>
        <v>0</v>
      </c>
      <c r="IB5" s="13">
        <f>GM5-X_Final_2000!AH4</f>
        <v>0</v>
      </c>
      <c r="IC5" s="13">
        <f>GN5-X_Final_2000!AI4</f>
        <v>0</v>
      </c>
      <c r="ID5" s="13">
        <f>GO5-X_Final_2000!AJ4</f>
        <v>0</v>
      </c>
      <c r="IE5" s="13">
        <f>GP5-X_Final_2000!AK4</f>
        <v>0</v>
      </c>
      <c r="IF5" s="13">
        <f>GQ5-X_Final_2000!AL4</f>
        <v>0</v>
      </c>
      <c r="IG5" s="13">
        <f>GR5-X_Final_2000!AM4</f>
        <v>0</v>
      </c>
    </row>
    <row r="6" spans="1:241" x14ac:dyDescent="0.2">
      <c r="A6" s="1" t="s">
        <v>34</v>
      </c>
      <c r="B6" s="6">
        <v>1</v>
      </c>
      <c r="R6" s="1" t="s">
        <v>34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D6" s="1" t="s">
        <v>34</v>
      </c>
      <c r="AE6" s="6">
        <v>0</v>
      </c>
      <c r="AF6" s="6">
        <v>0</v>
      </c>
      <c r="AG6" s="9">
        <v>0</v>
      </c>
      <c r="AH6" s="9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BZ6" s="1" t="s">
        <v>34</v>
      </c>
      <c r="CA6" s="9">
        <f t="shared" si="4"/>
        <v>0</v>
      </c>
      <c r="CB6" s="9">
        <f t="shared" si="5"/>
        <v>0</v>
      </c>
      <c r="CC6" s="9">
        <f t="shared" si="6"/>
        <v>0</v>
      </c>
      <c r="CD6" s="9">
        <f t="shared" si="7"/>
        <v>0</v>
      </c>
      <c r="CE6" s="9">
        <f t="shared" si="8"/>
        <v>0</v>
      </c>
      <c r="CF6" s="9">
        <f t="shared" si="9"/>
        <v>0</v>
      </c>
      <c r="CG6" s="9">
        <f t="shared" si="10"/>
        <v>0</v>
      </c>
      <c r="CH6" s="9">
        <f t="shared" si="11"/>
        <v>0</v>
      </c>
      <c r="CI6" s="9">
        <f t="shared" si="12"/>
        <v>0</v>
      </c>
      <c r="CL6" s="1" t="s">
        <v>34</v>
      </c>
      <c r="CM6" s="9">
        <f t="shared" si="14"/>
        <v>0</v>
      </c>
      <c r="CN6" s="9">
        <f t="shared" si="15"/>
        <v>0</v>
      </c>
      <c r="CO6" s="9">
        <f t="shared" si="16"/>
        <v>0</v>
      </c>
      <c r="CP6" s="9">
        <f t="shared" si="17"/>
        <v>0</v>
      </c>
      <c r="CQ6" s="9">
        <f t="shared" si="18"/>
        <v>0</v>
      </c>
      <c r="CR6" s="9">
        <f t="shared" si="19"/>
        <v>0</v>
      </c>
      <c r="CS6" s="9">
        <f t="shared" si="20"/>
        <v>0</v>
      </c>
      <c r="CT6" s="9">
        <f t="shared" si="21"/>
        <v>0</v>
      </c>
      <c r="CU6" s="9">
        <f t="shared" si="22"/>
        <v>0</v>
      </c>
      <c r="DO6" s="1" t="s">
        <v>34</v>
      </c>
      <c r="DP6" s="9">
        <v>0</v>
      </c>
      <c r="DQ6" s="9">
        <v>0</v>
      </c>
      <c r="DR6" s="9">
        <v>0</v>
      </c>
      <c r="DS6" s="9">
        <v>0</v>
      </c>
      <c r="DT6" s="9">
        <v>0</v>
      </c>
      <c r="DU6" s="9">
        <v>0</v>
      </c>
      <c r="DV6" s="9">
        <v>0</v>
      </c>
      <c r="DW6" s="9">
        <v>0</v>
      </c>
      <c r="DX6" s="9">
        <v>0</v>
      </c>
      <c r="EA6" s="1" t="s">
        <v>34</v>
      </c>
      <c r="EB6" s="9">
        <v>0</v>
      </c>
      <c r="EC6" s="9">
        <v>0</v>
      </c>
      <c r="ED6" s="9">
        <v>0</v>
      </c>
      <c r="EE6" s="9">
        <v>0</v>
      </c>
      <c r="EF6" s="9">
        <v>0</v>
      </c>
      <c r="EG6" s="9">
        <v>0</v>
      </c>
      <c r="EH6" s="9">
        <v>0</v>
      </c>
      <c r="EI6" s="9">
        <v>0</v>
      </c>
      <c r="EJ6" s="9">
        <v>0</v>
      </c>
      <c r="FW6" s="1" t="str">
        <f t="shared" si="24"/>
        <v>Destroyed exergy</v>
      </c>
      <c r="FX6" s="9">
        <f t="shared" si="25"/>
        <v>0</v>
      </c>
      <c r="FY6" s="9">
        <f t="shared" si="26"/>
        <v>0</v>
      </c>
      <c r="FZ6" s="9">
        <f t="shared" si="27"/>
        <v>0</v>
      </c>
      <c r="GA6" s="9">
        <f t="shared" si="28"/>
        <v>0</v>
      </c>
      <c r="GB6" s="9">
        <f t="shared" si="29"/>
        <v>0</v>
      </c>
      <c r="GC6" s="9">
        <f t="shared" si="30"/>
        <v>0</v>
      </c>
      <c r="GD6" s="9">
        <f t="shared" si="31"/>
        <v>0</v>
      </c>
      <c r="GE6" s="9">
        <f t="shared" si="32"/>
        <v>0</v>
      </c>
      <c r="GF6" s="9">
        <f t="shared" si="33"/>
        <v>0</v>
      </c>
      <c r="GI6" s="1" t="str">
        <f t="shared" si="34"/>
        <v>Destroyed exergy</v>
      </c>
      <c r="GJ6" s="9">
        <f t="shared" si="35"/>
        <v>0</v>
      </c>
      <c r="GK6" s="9">
        <f t="shared" si="36"/>
        <v>0</v>
      </c>
      <c r="GL6" s="9">
        <f t="shared" si="37"/>
        <v>0</v>
      </c>
      <c r="GM6" s="9">
        <f t="shared" si="38"/>
        <v>0</v>
      </c>
      <c r="GN6" s="9">
        <f t="shared" si="39"/>
        <v>0</v>
      </c>
      <c r="GO6" s="9">
        <f t="shared" si="40"/>
        <v>0</v>
      </c>
      <c r="GP6" s="9">
        <f t="shared" si="41"/>
        <v>0</v>
      </c>
      <c r="GQ6" s="9">
        <f t="shared" si="42"/>
        <v>0</v>
      </c>
      <c r="GR6" s="9">
        <f t="shared" si="43"/>
        <v>0</v>
      </c>
      <c r="HL6" s="1" t="s">
        <v>34</v>
      </c>
      <c r="HM6" s="13">
        <f>FX6-X_Final_2000!S5</f>
        <v>0</v>
      </c>
      <c r="HN6" s="13">
        <f>FY6-X_Final_2000!T5</f>
        <v>0</v>
      </c>
      <c r="HO6" s="13">
        <f>FZ6-X_Final_2000!U5</f>
        <v>0</v>
      </c>
      <c r="HP6" s="13">
        <f>GA6-X_Final_2000!V5</f>
        <v>0</v>
      </c>
      <c r="HQ6" s="13">
        <f>GB6-X_Final_2000!W5</f>
        <v>0</v>
      </c>
      <c r="HR6" s="13">
        <f>GC6-X_Final_2000!X5</f>
        <v>0</v>
      </c>
      <c r="HS6" s="13">
        <f>GD6-X_Final_2000!Y5</f>
        <v>0</v>
      </c>
      <c r="HT6" s="13">
        <f>GE6-X_Final_2000!Z5</f>
        <v>0</v>
      </c>
      <c r="HU6" s="13">
        <f>GF6-X_Final_2000!AA5</f>
        <v>0</v>
      </c>
      <c r="HX6" s="1" t="s">
        <v>34</v>
      </c>
      <c r="HY6" s="13">
        <f>GJ6-X_Final_2000!AE5</f>
        <v>0</v>
      </c>
      <c r="HZ6" s="13">
        <f>GK6-X_Final_2000!AF5</f>
        <v>0</v>
      </c>
      <c r="IA6" s="13">
        <f>GL6-X_Final_2000!AG5</f>
        <v>0</v>
      </c>
      <c r="IB6" s="13">
        <f>GM6-X_Final_2000!AH5</f>
        <v>0</v>
      </c>
      <c r="IC6" s="13">
        <f>GN6-X_Final_2000!AI5</f>
        <v>0</v>
      </c>
      <c r="ID6" s="13">
        <f>GO6-X_Final_2000!AJ5</f>
        <v>0</v>
      </c>
      <c r="IE6" s="13">
        <f>GP6-X_Final_2000!AK5</f>
        <v>0</v>
      </c>
      <c r="IF6" s="13">
        <f>GQ6-X_Final_2000!AL5</f>
        <v>0</v>
      </c>
      <c r="IG6" s="13">
        <f>GR6-X_Final_2000!AM5</f>
        <v>0</v>
      </c>
    </row>
    <row r="7" spans="1:241" x14ac:dyDescent="0.2">
      <c r="A7" s="1" t="s">
        <v>13</v>
      </c>
      <c r="B7" s="6">
        <v>1</v>
      </c>
      <c r="R7" s="1" t="s">
        <v>13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5000</v>
      </c>
      <c r="Z7" s="6">
        <v>0</v>
      </c>
      <c r="AA7" s="6">
        <v>0</v>
      </c>
      <c r="AD7" s="1" t="s">
        <v>13</v>
      </c>
      <c r="AE7" s="6">
        <v>0</v>
      </c>
      <c r="AF7" s="6">
        <v>0</v>
      </c>
      <c r="AG7" s="9">
        <v>0</v>
      </c>
      <c r="AH7" s="9">
        <v>0</v>
      </c>
      <c r="AI7" s="6">
        <v>0</v>
      </c>
      <c r="AJ7" s="6">
        <v>0</v>
      </c>
      <c r="AK7" s="6">
        <v>1</v>
      </c>
      <c r="AL7" s="6">
        <v>0</v>
      </c>
      <c r="AM7" s="6">
        <v>0</v>
      </c>
      <c r="BZ7" s="1" t="str">
        <f t="shared" si="3"/>
        <v>Diesel</v>
      </c>
      <c r="CA7" s="9">
        <f t="shared" si="4"/>
        <v>0</v>
      </c>
      <c r="CB7" s="9">
        <f t="shared" si="5"/>
        <v>0</v>
      </c>
      <c r="CC7" s="9">
        <f t="shared" si="6"/>
        <v>0</v>
      </c>
      <c r="CD7" s="9">
        <f t="shared" si="7"/>
        <v>0</v>
      </c>
      <c r="CE7" s="9">
        <f t="shared" si="8"/>
        <v>0</v>
      </c>
      <c r="CF7" s="9">
        <f t="shared" si="9"/>
        <v>0</v>
      </c>
      <c r="CG7" s="9">
        <f t="shared" si="10"/>
        <v>5000</v>
      </c>
      <c r="CH7" s="9">
        <f t="shared" si="11"/>
        <v>0</v>
      </c>
      <c r="CI7" s="9">
        <f t="shared" si="12"/>
        <v>0</v>
      </c>
      <c r="CL7" s="1" t="str">
        <f t="shared" si="13"/>
        <v>Diesel</v>
      </c>
      <c r="CM7" s="9">
        <f t="shared" si="14"/>
        <v>0</v>
      </c>
      <c r="CN7" s="9">
        <f t="shared" si="15"/>
        <v>0</v>
      </c>
      <c r="CO7" s="9">
        <f t="shared" si="16"/>
        <v>0</v>
      </c>
      <c r="CP7" s="9">
        <f t="shared" si="17"/>
        <v>0</v>
      </c>
      <c r="CQ7" s="9">
        <f t="shared" si="18"/>
        <v>0</v>
      </c>
      <c r="CR7" s="9">
        <f t="shared" si="19"/>
        <v>0</v>
      </c>
      <c r="CS7" s="9">
        <f t="shared" si="20"/>
        <v>1</v>
      </c>
      <c r="CT7" s="9">
        <f t="shared" si="21"/>
        <v>0</v>
      </c>
      <c r="CU7" s="9">
        <f t="shared" si="22"/>
        <v>0</v>
      </c>
      <c r="DO7" s="1" t="s">
        <v>13</v>
      </c>
      <c r="DP7" s="9">
        <v>0</v>
      </c>
      <c r="DQ7" s="9">
        <v>0</v>
      </c>
      <c r="DR7" s="9">
        <v>0</v>
      </c>
      <c r="DS7" s="9">
        <v>0</v>
      </c>
      <c r="DT7" s="9">
        <v>0</v>
      </c>
      <c r="DU7" s="9">
        <v>0</v>
      </c>
      <c r="DV7" s="9">
        <f>DV43</f>
        <v>5300</v>
      </c>
      <c r="DW7" s="9">
        <v>0</v>
      </c>
      <c r="DX7" s="9">
        <v>0</v>
      </c>
      <c r="EA7" s="1" t="s">
        <v>13</v>
      </c>
      <c r="EB7" s="9">
        <v>0</v>
      </c>
      <c r="EC7" s="9">
        <f t="shared" ref="EC7:EC8" si="47">DQ7/DQ43</f>
        <v>0</v>
      </c>
      <c r="ED7" s="9">
        <v>0</v>
      </c>
      <c r="EE7" s="9">
        <v>0</v>
      </c>
      <c r="EF7" s="9">
        <v>0</v>
      </c>
      <c r="EG7" s="9">
        <v>0</v>
      </c>
      <c r="EH7" s="9">
        <f t="shared" si="45"/>
        <v>1</v>
      </c>
      <c r="EI7" s="9">
        <v>0</v>
      </c>
      <c r="EJ7" s="9">
        <v>0</v>
      </c>
      <c r="FW7" s="1" t="str">
        <f t="shared" si="24"/>
        <v>Diesel</v>
      </c>
      <c r="FX7" s="9">
        <f t="shared" si="25"/>
        <v>0</v>
      </c>
      <c r="FY7" s="9">
        <f t="shared" si="26"/>
        <v>0</v>
      </c>
      <c r="FZ7" s="9">
        <f t="shared" si="27"/>
        <v>0</v>
      </c>
      <c r="GA7" s="9">
        <f t="shared" si="28"/>
        <v>0</v>
      </c>
      <c r="GB7" s="9">
        <f t="shared" si="29"/>
        <v>0</v>
      </c>
      <c r="GC7" s="9">
        <f t="shared" si="30"/>
        <v>0</v>
      </c>
      <c r="GD7" s="9">
        <f t="shared" si="31"/>
        <v>5300</v>
      </c>
      <c r="GE7" s="9">
        <f t="shared" si="32"/>
        <v>0</v>
      </c>
      <c r="GF7" s="9">
        <f t="shared" si="33"/>
        <v>0</v>
      </c>
      <c r="GI7" s="1" t="str">
        <f t="shared" si="34"/>
        <v>Diesel</v>
      </c>
      <c r="GJ7" s="9">
        <f t="shared" si="35"/>
        <v>0</v>
      </c>
      <c r="GK7" s="9">
        <f t="shared" si="36"/>
        <v>0</v>
      </c>
      <c r="GL7" s="9">
        <f t="shared" si="37"/>
        <v>0</v>
      </c>
      <c r="GM7" s="9">
        <f t="shared" si="38"/>
        <v>0</v>
      </c>
      <c r="GN7" s="9">
        <f t="shared" si="39"/>
        <v>0</v>
      </c>
      <c r="GO7" s="9">
        <f t="shared" si="40"/>
        <v>0</v>
      </c>
      <c r="GP7" s="9">
        <f t="shared" si="41"/>
        <v>1</v>
      </c>
      <c r="GQ7" s="9">
        <f t="shared" si="42"/>
        <v>0</v>
      </c>
      <c r="GR7" s="9">
        <f t="shared" si="43"/>
        <v>0</v>
      </c>
      <c r="HL7" s="1" t="s">
        <v>13</v>
      </c>
      <c r="HM7" s="13">
        <f>FX7-X_Final_2000!S6</f>
        <v>0</v>
      </c>
      <c r="HN7" s="13">
        <f>FY7-X_Final_2000!T6</f>
        <v>0</v>
      </c>
      <c r="HO7" s="13">
        <f>FZ7-X_Final_2000!U6</f>
        <v>0</v>
      </c>
      <c r="HP7" s="13">
        <f>GA7-X_Final_2000!V6</f>
        <v>0</v>
      </c>
      <c r="HQ7" s="13">
        <f>GB7-X_Final_2000!W6</f>
        <v>0</v>
      </c>
      <c r="HR7" s="13">
        <f>GC7-X_Final_2000!X6</f>
        <v>0</v>
      </c>
      <c r="HS7" s="13">
        <f>GD7-X_Final_2000!Y6</f>
        <v>0</v>
      </c>
      <c r="HT7" s="13">
        <f>GE7-X_Final_2000!Z6</f>
        <v>0</v>
      </c>
      <c r="HU7" s="13">
        <f>GF7-X_Final_2000!AA6</f>
        <v>0</v>
      </c>
      <c r="HX7" s="1" t="s">
        <v>13</v>
      </c>
      <c r="HY7" s="13">
        <f>GJ7-X_Final_2000!AE6</f>
        <v>0</v>
      </c>
      <c r="HZ7" s="13">
        <f>GK7-X_Final_2000!AF6</f>
        <v>0</v>
      </c>
      <c r="IA7" s="13">
        <f>GL7-X_Final_2000!AG6</f>
        <v>0</v>
      </c>
      <c r="IB7" s="13">
        <f>GM7-X_Final_2000!AH6</f>
        <v>0</v>
      </c>
      <c r="IC7" s="13">
        <f>GN7-X_Final_2000!AI6</f>
        <v>0</v>
      </c>
      <c r="ID7" s="13">
        <f>GO7-X_Final_2000!AJ6</f>
        <v>0</v>
      </c>
      <c r="IE7" s="13">
        <f>GP7-X_Final_2000!AK6</f>
        <v>0</v>
      </c>
      <c r="IF7" s="13">
        <f>GQ7-X_Final_2000!AL6</f>
        <v>0</v>
      </c>
      <c r="IG7" s="13">
        <f>GR7-X_Final_2000!AM6</f>
        <v>0</v>
      </c>
    </row>
    <row r="8" spans="1:241" x14ac:dyDescent="0.2">
      <c r="A8" s="1" t="s">
        <v>14</v>
      </c>
      <c r="B8" s="6">
        <v>1</v>
      </c>
      <c r="R8" s="1" t="s">
        <v>14</v>
      </c>
      <c r="S8" s="6">
        <v>25</v>
      </c>
      <c r="T8" s="6">
        <v>350</v>
      </c>
      <c r="U8" s="6">
        <v>0</v>
      </c>
      <c r="V8" s="6">
        <v>50</v>
      </c>
      <c r="W8" s="6">
        <v>25</v>
      </c>
      <c r="X8" s="6">
        <v>50</v>
      </c>
      <c r="Y8" s="6">
        <v>0</v>
      </c>
      <c r="Z8" s="6">
        <v>250</v>
      </c>
      <c r="AA8" s="6">
        <v>0</v>
      </c>
      <c r="AD8" s="1" t="s">
        <v>14</v>
      </c>
      <c r="AE8" s="6">
        <v>1</v>
      </c>
      <c r="AF8" s="6">
        <v>1</v>
      </c>
      <c r="AG8" s="9">
        <v>0</v>
      </c>
      <c r="AH8" s="9">
        <v>1</v>
      </c>
      <c r="AI8" s="6">
        <v>1</v>
      </c>
      <c r="AJ8" s="6">
        <v>1</v>
      </c>
      <c r="AK8" s="6">
        <v>0</v>
      </c>
      <c r="AL8" s="6">
        <v>1</v>
      </c>
      <c r="AM8" s="6">
        <v>0</v>
      </c>
      <c r="BZ8" s="1" t="str">
        <f t="shared" si="3"/>
        <v>Diesel [from Dist.]</v>
      </c>
      <c r="CA8" s="9">
        <f t="shared" si="4"/>
        <v>25</v>
      </c>
      <c r="CB8" s="9">
        <f t="shared" si="5"/>
        <v>350</v>
      </c>
      <c r="CC8" s="9">
        <f t="shared" si="6"/>
        <v>0</v>
      </c>
      <c r="CD8" s="9">
        <f t="shared" si="7"/>
        <v>50</v>
      </c>
      <c r="CE8" s="9">
        <f t="shared" si="8"/>
        <v>25</v>
      </c>
      <c r="CF8" s="9">
        <f t="shared" si="9"/>
        <v>50</v>
      </c>
      <c r="CG8" s="9">
        <f t="shared" si="10"/>
        <v>0</v>
      </c>
      <c r="CH8" s="9">
        <f t="shared" si="11"/>
        <v>250</v>
      </c>
      <c r="CI8" s="9">
        <f t="shared" si="12"/>
        <v>0</v>
      </c>
      <c r="CL8" s="1" t="str">
        <f t="shared" si="13"/>
        <v>Diesel [from Dist.]</v>
      </c>
      <c r="CM8" s="9">
        <f t="shared" si="14"/>
        <v>1</v>
      </c>
      <c r="CN8" s="9">
        <f t="shared" si="15"/>
        <v>1</v>
      </c>
      <c r="CO8" s="9">
        <f t="shared" si="16"/>
        <v>0</v>
      </c>
      <c r="CP8" s="9">
        <f t="shared" si="17"/>
        <v>1</v>
      </c>
      <c r="CQ8" s="9">
        <f t="shared" si="18"/>
        <v>1</v>
      </c>
      <c r="CR8" s="9">
        <f t="shared" si="19"/>
        <v>1</v>
      </c>
      <c r="CS8" s="9">
        <f t="shared" si="20"/>
        <v>0</v>
      </c>
      <c r="CT8" s="9">
        <f t="shared" si="21"/>
        <v>1</v>
      </c>
      <c r="CU8" s="9">
        <f t="shared" si="22"/>
        <v>0</v>
      </c>
      <c r="DO8" s="1" t="s">
        <v>14</v>
      </c>
      <c r="DP8" s="9">
        <f>DP44</f>
        <v>26.5</v>
      </c>
      <c r="DQ8" s="9">
        <f t="shared" ref="DQ8:DX8" si="48">DQ44</f>
        <v>371</v>
      </c>
      <c r="DR8" s="9">
        <f t="shared" si="48"/>
        <v>0</v>
      </c>
      <c r="DS8" s="9">
        <f t="shared" si="48"/>
        <v>53</v>
      </c>
      <c r="DT8" s="9">
        <f t="shared" si="48"/>
        <v>26.5</v>
      </c>
      <c r="DU8" s="9">
        <f t="shared" si="48"/>
        <v>53</v>
      </c>
      <c r="DV8" s="9">
        <f t="shared" si="48"/>
        <v>0</v>
      </c>
      <c r="DW8" s="9">
        <f t="shared" si="48"/>
        <v>265</v>
      </c>
      <c r="DX8" s="9">
        <f t="shared" si="48"/>
        <v>0</v>
      </c>
      <c r="EA8" s="1" t="s">
        <v>14</v>
      </c>
      <c r="EB8" s="9">
        <f t="shared" si="44"/>
        <v>1</v>
      </c>
      <c r="EC8" s="9">
        <f t="shared" si="47"/>
        <v>1</v>
      </c>
      <c r="ED8" s="9">
        <v>0</v>
      </c>
      <c r="EE8" s="9">
        <f t="shared" ref="EE8:EE14" si="49">DS8/DS44</f>
        <v>1</v>
      </c>
      <c r="EF8" s="9">
        <f t="shared" ref="EF8:EF14" si="50">DT8/DT44</f>
        <v>1</v>
      </c>
      <c r="EG8" s="9">
        <f t="shared" si="46"/>
        <v>1</v>
      </c>
      <c r="EH8" s="9">
        <v>0</v>
      </c>
      <c r="EI8" s="9">
        <f t="shared" ref="EI8:EI16" si="51">DW8/DW44</f>
        <v>1</v>
      </c>
      <c r="EJ8" s="9">
        <v>0</v>
      </c>
      <c r="FW8" s="1" t="str">
        <f t="shared" si="24"/>
        <v>Diesel [from Dist.]</v>
      </c>
      <c r="FX8" s="9">
        <f t="shared" si="25"/>
        <v>26.5</v>
      </c>
      <c r="FY8" s="9">
        <f t="shared" si="26"/>
        <v>371</v>
      </c>
      <c r="FZ8" s="9">
        <f t="shared" si="27"/>
        <v>0</v>
      </c>
      <c r="GA8" s="9">
        <f t="shared" si="28"/>
        <v>53</v>
      </c>
      <c r="GB8" s="9">
        <f t="shared" si="29"/>
        <v>26.5</v>
      </c>
      <c r="GC8" s="9">
        <f t="shared" si="30"/>
        <v>53</v>
      </c>
      <c r="GD8" s="9">
        <f t="shared" si="31"/>
        <v>0</v>
      </c>
      <c r="GE8" s="9">
        <f t="shared" si="32"/>
        <v>265</v>
      </c>
      <c r="GF8" s="9">
        <f t="shared" si="33"/>
        <v>0</v>
      </c>
      <c r="GI8" s="1" t="str">
        <f t="shared" si="34"/>
        <v>Diesel [from Dist.]</v>
      </c>
      <c r="GJ8" s="9">
        <f t="shared" si="35"/>
        <v>1</v>
      </c>
      <c r="GK8" s="9">
        <f t="shared" si="36"/>
        <v>1</v>
      </c>
      <c r="GL8" s="9">
        <f t="shared" si="37"/>
        <v>0</v>
      </c>
      <c r="GM8" s="9">
        <f t="shared" si="38"/>
        <v>1</v>
      </c>
      <c r="GN8" s="9">
        <f t="shared" si="39"/>
        <v>1</v>
      </c>
      <c r="GO8" s="9">
        <f t="shared" si="40"/>
        <v>1</v>
      </c>
      <c r="GP8" s="9">
        <f t="shared" si="41"/>
        <v>0</v>
      </c>
      <c r="GQ8" s="9">
        <f t="shared" si="42"/>
        <v>1</v>
      </c>
      <c r="GR8" s="9">
        <f t="shared" si="43"/>
        <v>0</v>
      </c>
      <c r="HL8" s="1" t="s">
        <v>14</v>
      </c>
      <c r="HM8" s="13">
        <f>FX8-X_Final_2000!S7</f>
        <v>0</v>
      </c>
      <c r="HN8" s="13">
        <f>FY8-X_Final_2000!T7</f>
        <v>0</v>
      </c>
      <c r="HO8" s="13">
        <f>FZ8-X_Final_2000!U7</f>
        <v>0</v>
      </c>
      <c r="HP8" s="13">
        <f>GA8-X_Final_2000!V7</f>
        <v>0</v>
      </c>
      <c r="HQ8" s="13">
        <f>GB8-X_Final_2000!W7</f>
        <v>0</v>
      </c>
      <c r="HR8" s="13">
        <f>GC8-X_Final_2000!X7</f>
        <v>0</v>
      </c>
      <c r="HS8" s="13">
        <f>GD8-X_Final_2000!Y7</f>
        <v>0</v>
      </c>
      <c r="HT8" s="13">
        <f>GE8-X_Final_2000!Z7</f>
        <v>0</v>
      </c>
      <c r="HU8" s="13">
        <f>GF8-X_Final_2000!AA7</f>
        <v>0</v>
      </c>
      <c r="HX8" s="1" t="s">
        <v>14</v>
      </c>
      <c r="HY8" s="13">
        <f>GJ8-X_Final_2000!AE7</f>
        <v>0</v>
      </c>
      <c r="HZ8" s="13">
        <f>GK8-X_Final_2000!AF7</f>
        <v>0</v>
      </c>
      <c r="IA8" s="13">
        <f>GL8-X_Final_2000!AG7</f>
        <v>0</v>
      </c>
      <c r="IB8" s="13">
        <f>GM8-X_Final_2000!AH7</f>
        <v>0</v>
      </c>
      <c r="IC8" s="13">
        <f>GN8-X_Final_2000!AI7</f>
        <v>0</v>
      </c>
      <c r="ID8" s="13">
        <f>GO8-X_Final_2000!AJ7</f>
        <v>0</v>
      </c>
      <c r="IE8" s="13">
        <f>GP8-X_Final_2000!AK7</f>
        <v>0</v>
      </c>
      <c r="IF8" s="13">
        <f>GQ8-X_Final_2000!AL7</f>
        <v>0</v>
      </c>
      <c r="IG8" s="13">
        <f>GR8-X_Final_2000!AM7</f>
        <v>0</v>
      </c>
    </row>
    <row r="9" spans="1:241" x14ac:dyDescent="0.2">
      <c r="A9" s="1" t="s">
        <v>15</v>
      </c>
      <c r="B9" s="6">
        <v>1</v>
      </c>
      <c r="R9" s="1" t="s">
        <v>15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D9" s="1" t="s">
        <v>15</v>
      </c>
      <c r="AE9" s="6">
        <v>0</v>
      </c>
      <c r="AF9" s="6">
        <v>0</v>
      </c>
      <c r="AG9" s="9">
        <v>0</v>
      </c>
      <c r="AH9" s="9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BZ9" s="1" t="str">
        <f t="shared" si="3"/>
        <v>Elect</v>
      </c>
      <c r="CA9" s="9">
        <f t="shared" si="4"/>
        <v>0</v>
      </c>
      <c r="CB9" s="9">
        <f t="shared" si="5"/>
        <v>0</v>
      </c>
      <c r="CC9" s="9">
        <f t="shared" si="6"/>
        <v>0</v>
      </c>
      <c r="CD9" s="9">
        <f t="shared" si="7"/>
        <v>0</v>
      </c>
      <c r="CE9" s="9">
        <f t="shared" si="8"/>
        <v>0</v>
      </c>
      <c r="CF9" s="9">
        <f t="shared" si="9"/>
        <v>0</v>
      </c>
      <c r="CG9" s="9">
        <f t="shared" si="10"/>
        <v>0</v>
      </c>
      <c r="CH9" s="9">
        <f t="shared" si="11"/>
        <v>0</v>
      </c>
      <c r="CI9" s="9">
        <f t="shared" si="12"/>
        <v>0</v>
      </c>
      <c r="CL9" s="1" t="str">
        <f t="shared" si="13"/>
        <v>Elect</v>
      </c>
      <c r="CM9" s="9">
        <f t="shared" si="14"/>
        <v>0</v>
      </c>
      <c r="CN9" s="9">
        <f t="shared" si="15"/>
        <v>0</v>
      </c>
      <c r="CO9" s="9">
        <f t="shared" si="16"/>
        <v>0</v>
      </c>
      <c r="CP9" s="9">
        <f t="shared" si="17"/>
        <v>0</v>
      </c>
      <c r="CQ9" s="9">
        <f t="shared" si="18"/>
        <v>0</v>
      </c>
      <c r="CR9" s="9">
        <f t="shared" si="19"/>
        <v>0</v>
      </c>
      <c r="CS9" s="9">
        <f t="shared" si="20"/>
        <v>0</v>
      </c>
      <c r="CT9" s="9">
        <f t="shared" si="21"/>
        <v>0</v>
      </c>
      <c r="CU9" s="9">
        <f t="shared" si="22"/>
        <v>0</v>
      </c>
      <c r="DO9" s="1" t="s">
        <v>15</v>
      </c>
      <c r="DP9" s="9">
        <v>0</v>
      </c>
      <c r="DQ9" s="9">
        <v>0</v>
      </c>
      <c r="DR9" s="9">
        <v>0</v>
      </c>
      <c r="DS9" s="9">
        <v>0</v>
      </c>
      <c r="DT9" s="9">
        <v>0</v>
      </c>
      <c r="DU9" s="9">
        <v>0</v>
      </c>
      <c r="DV9" s="9">
        <v>0</v>
      </c>
      <c r="DW9" s="9">
        <v>0</v>
      </c>
      <c r="DX9" s="9">
        <v>0</v>
      </c>
      <c r="EA9" s="1" t="s">
        <v>15</v>
      </c>
      <c r="EB9" s="9">
        <v>0</v>
      </c>
      <c r="EC9" s="9">
        <v>0</v>
      </c>
      <c r="ED9" s="9">
        <f t="shared" ref="ED9" si="52">DR9/DR45</f>
        <v>0</v>
      </c>
      <c r="EE9" s="9">
        <v>0</v>
      </c>
      <c r="EF9" s="9">
        <v>0</v>
      </c>
      <c r="EG9" s="9">
        <v>0</v>
      </c>
      <c r="EH9" s="9">
        <v>0</v>
      </c>
      <c r="EI9" s="9">
        <v>0</v>
      </c>
      <c r="EJ9" s="9">
        <v>0</v>
      </c>
      <c r="FW9" s="1" t="str">
        <f t="shared" si="24"/>
        <v>Elect</v>
      </c>
      <c r="FX9" s="9">
        <f t="shared" si="25"/>
        <v>0</v>
      </c>
      <c r="FY9" s="9">
        <f t="shared" si="26"/>
        <v>0</v>
      </c>
      <c r="FZ9" s="9">
        <f t="shared" si="27"/>
        <v>0</v>
      </c>
      <c r="GA9" s="9">
        <f t="shared" si="28"/>
        <v>0</v>
      </c>
      <c r="GB9" s="9">
        <f t="shared" si="29"/>
        <v>0</v>
      </c>
      <c r="GC9" s="9">
        <f t="shared" si="30"/>
        <v>0</v>
      </c>
      <c r="GD9" s="9">
        <f t="shared" si="31"/>
        <v>0</v>
      </c>
      <c r="GE9" s="9">
        <f t="shared" si="32"/>
        <v>0</v>
      </c>
      <c r="GF9" s="9">
        <f t="shared" si="33"/>
        <v>0</v>
      </c>
      <c r="GI9" s="1" t="str">
        <f t="shared" si="34"/>
        <v>Elect</v>
      </c>
      <c r="GJ9" s="9">
        <f t="shared" si="35"/>
        <v>0</v>
      </c>
      <c r="GK9" s="9">
        <f t="shared" si="36"/>
        <v>0</v>
      </c>
      <c r="GL9" s="9">
        <f t="shared" si="37"/>
        <v>0</v>
      </c>
      <c r="GM9" s="9">
        <f t="shared" si="38"/>
        <v>0</v>
      </c>
      <c r="GN9" s="9">
        <f t="shared" si="39"/>
        <v>0</v>
      </c>
      <c r="GO9" s="9">
        <f t="shared" si="40"/>
        <v>0</v>
      </c>
      <c r="GP9" s="9">
        <f t="shared" si="41"/>
        <v>0</v>
      </c>
      <c r="GQ9" s="9">
        <f t="shared" si="42"/>
        <v>0</v>
      </c>
      <c r="GR9" s="9">
        <f t="shared" si="43"/>
        <v>0</v>
      </c>
      <c r="HL9" s="1" t="s">
        <v>15</v>
      </c>
      <c r="HM9" s="13">
        <f>FX9-X_Final_2000!S8</f>
        <v>0</v>
      </c>
      <c r="HN9" s="13">
        <f>FY9-X_Final_2000!T8</f>
        <v>0</v>
      </c>
      <c r="HO9" s="13">
        <f>FZ9-X_Final_2000!U8</f>
        <v>0</v>
      </c>
      <c r="HP9" s="13">
        <f>GA9-X_Final_2000!V8</f>
        <v>0</v>
      </c>
      <c r="HQ9" s="13">
        <f>GB9-X_Final_2000!W8</f>
        <v>0</v>
      </c>
      <c r="HR9" s="13">
        <f>GC9-X_Final_2000!X8</f>
        <v>0</v>
      </c>
      <c r="HS9" s="13">
        <f>GD9-X_Final_2000!Y8</f>
        <v>0</v>
      </c>
      <c r="HT9" s="13">
        <f>GE9-X_Final_2000!Z8</f>
        <v>0</v>
      </c>
      <c r="HU9" s="13">
        <f>GF9-X_Final_2000!AA8</f>
        <v>0</v>
      </c>
      <c r="HX9" s="1" t="s">
        <v>15</v>
      </c>
      <c r="HY9" s="13">
        <f>GJ9-X_Final_2000!AE8</f>
        <v>0</v>
      </c>
      <c r="HZ9" s="13">
        <f>GK9-X_Final_2000!AF8</f>
        <v>0</v>
      </c>
      <c r="IA9" s="13">
        <f>GL9-X_Final_2000!AG8</f>
        <v>0</v>
      </c>
      <c r="IB9" s="13">
        <f>GM9-X_Final_2000!AH8</f>
        <v>0</v>
      </c>
      <c r="IC9" s="13">
        <f>GN9-X_Final_2000!AI8</f>
        <v>0</v>
      </c>
      <c r="ID9" s="13">
        <f>GO9-X_Final_2000!AJ8</f>
        <v>0</v>
      </c>
      <c r="IE9" s="13">
        <f>GP9-X_Final_2000!AK8</f>
        <v>0</v>
      </c>
      <c r="IF9" s="13">
        <f>GQ9-X_Final_2000!AL8</f>
        <v>0</v>
      </c>
      <c r="IG9" s="13">
        <f>GR9-X_Final_2000!AM8</f>
        <v>0</v>
      </c>
    </row>
    <row r="10" spans="1:241" x14ac:dyDescent="0.2">
      <c r="A10" s="1" t="s">
        <v>16</v>
      </c>
      <c r="B10" s="6">
        <v>1</v>
      </c>
      <c r="R10" s="1" t="s">
        <v>16</v>
      </c>
      <c r="S10" s="6">
        <v>25</v>
      </c>
      <c r="T10" s="6">
        <v>0</v>
      </c>
      <c r="U10" s="6">
        <v>0</v>
      </c>
      <c r="V10" s="6">
        <v>25</v>
      </c>
      <c r="W10" s="6">
        <v>25</v>
      </c>
      <c r="X10" s="6">
        <v>25</v>
      </c>
      <c r="Y10" s="6">
        <v>75</v>
      </c>
      <c r="Z10" s="6">
        <v>0</v>
      </c>
      <c r="AA10" s="6">
        <v>100</v>
      </c>
      <c r="AD10" s="1" t="s">
        <v>16</v>
      </c>
      <c r="AE10" s="6">
        <v>1</v>
      </c>
      <c r="AF10" s="6">
        <v>0</v>
      </c>
      <c r="AG10" s="9">
        <v>0</v>
      </c>
      <c r="AH10" s="9">
        <v>1</v>
      </c>
      <c r="AI10" s="6">
        <v>1</v>
      </c>
      <c r="AJ10" s="6">
        <v>1</v>
      </c>
      <c r="AK10" s="6">
        <v>1</v>
      </c>
      <c r="AL10" s="6">
        <v>0</v>
      </c>
      <c r="AM10" s="6">
        <v>1</v>
      </c>
      <c r="BZ10" s="1" t="str">
        <f t="shared" si="3"/>
        <v>Elect [from Grid]</v>
      </c>
      <c r="CA10" s="9">
        <f t="shared" si="4"/>
        <v>25</v>
      </c>
      <c r="CB10" s="9">
        <f t="shared" si="5"/>
        <v>0</v>
      </c>
      <c r="CC10" s="9">
        <f t="shared" si="6"/>
        <v>0</v>
      </c>
      <c r="CD10" s="9">
        <f t="shared" si="7"/>
        <v>25</v>
      </c>
      <c r="CE10" s="9">
        <f t="shared" si="8"/>
        <v>25</v>
      </c>
      <c r="CF10" s="9">
        <f t="shared" si="9"/>
        <v>25</v>
      </c>
      <c r="CG10" s="9">
        <f t="shared" si="10"/>
        <v>75</v>
      </c>
      <c r="CH10" s="9">
        <f t="shared" si="11"/>
        <v>0</v>
      </c>
      <c r="CI10" s="9">
        <f t="shared" si="12"/>
        <v>100</v>
      </c>
      <c r="CL10" s="1" t="str">
        <f t="shared" si="13"/>
        <v>Elect [from Grid]</v>
      </c>
      <c r="CM10" s="9">
        <f t="shared" si="14"/>
        <v>1</v>
      </c>
      <c r="CN10" s="9">
        <f t="shared" si="15"/>
        <v>0</v>
      </c>
      <c r="CO10" s="9">
        <f t="shared" si="16"/>
        <v>0</v>
      </c>
      <c r="CP10" s="9">
        <f t="shared" si="17"/>
        <v>1</v>
      </c>
      <c r="CQ10" s="9">
        <f t="shared" si="18"/>
        <v>1</v>
      </c>
      <c r="CR10" s="9">
        <f t="shared" si="19"/>
        <v>1</v>
      </c>
      <c r="CS10" s="9">
        <f t="shared" si="20"/>
        <v>1</v>
      </c>
      <c r="CT10" s="9">
        <f t="shared" si="21"/>
        <v>0</v>
      </c>
      <c r="CU10" s="9">
        <f t="shared" si="22"/>
        <v>1</v>
      </c>
      <c r="DO10" s="1" t="s">
        <v>16</v>
      </c>
      <c r="DP10" s="9">
        <f>DP46</f>
        <v>25</v>
      </c>
      <c r="DQ10" s="9">
        <f t="shared" ref="DQ10:DX10" si="53">DQ46</f>
        <v>0</v>
      </c>
      <c r="DR10" s="9">
        <f t="shared" si="53"/>
        <v>0</v>
      </c>
      <c r="DS10" s="9">
        <f t="shared" si="53"/>
        <v>25</v>
      </c>
      <c r="DT10" s="9">
        <f t="shared" si="53"/>
        <v>25</v>
      </c>
      <c r="DU10" s="9">
        <f t="shared" si="53"/>
        <v>25</v>
      </c>
      <c r="DV10" s="9">
        <f t="shared" si="53"/>
        <v>75</v>
      </c>
      <c r="DW10" s="9">
        <f t="shared" si="53"/>
        <v>0</v>
      </c>
      <c r="DX10" s="9">
        <f t="shared" si="53"/>
        <v>100</v>
      </c>
      <c r="EA10" s="1" t="s">
        <v>16</v>
      </c>
      <c r="EB10" s="9">
        <f t="shared" si="44"/>
        <v>1</v>
      </c>
      <c r="EC10" s="9">
        <v>0</v>
      </c>
      <c r="ED10" s="9">
        <v>0</v>
      </c>
      <c r="EE10" s="9">
        <f t="shared" si="49"/>
        <v>1</v>
      </c>
      <c r="EF10" s="9">
        <f t="shared" si="50"/>
        <v>1</v>
      </c>
      <c r="EG10" s="9">
        <f t="shared" si="46"/>
        <v>1</v>
      </c>
      <c r="EH10" s="9">
        <f t="shared" si="45"/>
        <v>1</v>
      </c>
      <c r="EI10" s="9">
        <v>0</v>
      </c>
      <c r="EJ10" s="9">
        <f t="shared" ref="EJ10:EJ13" si="54">DX10/DX46</f>
        <v>1</v>
      </c>
      <c r="FW10" s="1" t="str">
        <f t="shared" si="24"/>
        <v>Elect [from Grid]</v>
      </c>
      <c r="FX10" s="9">
        <f t="shared" si="25"/>
        <v>25</v>
      </c>
      <c r="FY10" s="9">
        <f t="shared" si="26"/>
        <v>0</v>
      </c>
      <c r="FZ10" s="9">
        <f t="shared" si="27"/>
        <v>0</v>
      </c>
      <c r="GA10" s="9">
        <f t="shared" si="28"/>
        <v>25</v>
      </c>
      <c r="GB10" s="9">
        <f t="shared" si="29"/>
        <v>25</v>
      </c>
      <c r="GC10" s="9">
        <f t="shared" si="30"/>
        <v>25</v>
      </c>
      <c r="GD10" s="9">
        <f t="shared" si="31"/>
        <v>75</v>
      </c>
      <c r="GE10" s="9">
        <f t="shared" si="32"/>
        <v>0</v>
      </c>
      <c r="GF10" s="9">
        <f t="shared" si="33"/>
        <v>100</v>
      </c>
      <c r="GI10" s="1" t="str">
        <f t="shared" si="34"/>
        <v>Elect [from Grid]</v>
      </c>
      <c r="GJ10" s="9">
        <f t="shared" si="35"/>
        <v>1</v>
      </c>
      <c r="GK10" s="9">
        <f t="shared" si="36"/>
        <v>0</v>
      </c>
      <c r="GL10" s="9">
        <f t="shared" si="37"/>
        <v>0</v>
      </c>
      <c r="GM10" s="9">
        <f t="shared" si="38"/>
        <v>1</v>
      </c>
      <c r="GN10" s="9">
        <f t="shared" si="39"/>
        <v>1</v>
      </c>
      <c r="GO10" s="9">
        <f t="shared" si="40"/>
        <v>1</v>
      </c>
      <c r="GP10" s="9">
        <f t="shared" si="41"/>
        <v>1</v>
      </c>
      <c r="GQ10" s="9">
        <f t="shared" si="42"/>
        <v>0</v>
      </c>
      <c r="GR10" s="9">
        <f t="shared" si="43"/>
        <v>1</v>
      </c>
      <c r="HL10" s="1" t="s">
        <v>16</v>
      </c>
      <c r="HM10" s="13">
        <f>FX10-X_Final_2000!S9</f>
        <v>0</v>
      </c>
      <c r="HN10" s="13">
        <f>FY10-X_Final_2000!T9</f>
        <v>0</v>
      </c>
      <c r="HO10" s="13">
        <f>FZ10-X_Final_2000!U9</f>
        <v>0</v>
      </c>
      <c r="HP10" s="13">
        <f>GA10-X_Final_2000!V9</f>
        <v>0</v>
      </c>
      <c r="HQ10" s="13">
        <f>GB10-X_Final_2000!W9</f>
        <v>0</v>
      </c>
      <c r="HR10" s="13">
        <f>GC10-X_Final_2000!X9</f>
        <v>0</v>
      </c>
      <c r="HS10" s="13">
        <f>GD10-X_Final_2000!Y9</f>
        <v>0</v>
      </c>
      <c r="HT10" s="13">
        <f>GE10-X_Final_2000!Z9</f>
        <v>0</v>
      </c>
      <c r="HU10" s="13">
        <f>GF10-X_Final_2000!AA9</f>
        <v>0</v>
      </c>
      <c r="HX10" s="1" t="s">
        <v>16</v>
      </c>
      <c r="HY10" s="13">
        <f>GJ10-X_Final_2000!AE9</f>
        <v>0</v>
      </c>
      <c r="HZ10" s="13">
        <f>GK10-X_Final_2000!AF9</f>
        <v>0</v>
      </c>
      <c r="IA10" s="13">
        <f>GL10-X_Final_2000!AG9</f>
        <v>0</v>
      </c>
      <c r="IB10" s="13">
        <f>GM10-X_Final_2000!AH9</f>
        <v>0</v>
      </c>
      <c r="IC10" s="13">
        <f>GN10-X_Final_2000!AI9</f>
        <v>0</v>
      </c>
      <c r="ID10" s="13">
        <f>GO10-X_Final_2000!AJ9</f>
        <v>0</v>
      </c>
      <c r="IE10" s="13">
        <f>GP10-X_Final_2000!AK9</f>
        <v>0</v>
      </c>
      <c r="IF10" s="13">
        <f>GQ10-X_Final_2000!AL9</f>
        <v>0</v>
      </c>
      <c r="IG10" s="13">
        <f>GR10-X_Final_2000!AM9</f>
        <v>0</v>
      </c>
    </row>
    <row r="11" spans="1:241" x14ac:dyDescent="0.2">
      <c r="A11" s="1" t="s">
        <v>35</v>
      </c>
      <c r="B11" s="6">
        <v>1</v>
      </c>
      <c r="R11" s="1" t="s">
        <v>35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D11" s="1" t="s">
        <v>35</v>
      </c>
      <c r="AE11" s="6">
        <v>0</v>
      </c>
      <c r="AF11" s="6">
        <v>0</v>
      </c>
      <c r="AG11" s="9">
        <v>0</v>
      </c>
      <c r="AH11" s="9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BZ11" s="1" t="str">
        <f t="shared" si="3"/>
        <v>MTH.200.C -&gt; Transformation losses</v>
      </c>
      <c r="CA11" s="9">
        <f t="shared" si="4"/>
        <v>0</v>
      </c>
      <c r="CB11" s="9">
        <f t="shared" si="5"/>
        <v>0</v>
      </c>
      <c r="CC11" s="9">
        <f t="shared" si="6"/>
        <v>0</v>
      </c>
      <c r="CD11" s="9">
        <f t="shared" si="7"/>
        <v>0</v>
      </c>
      <c r="CE11" s="9">
        <f t="shared" si="8"/>
        <v>0</v>
      </c>
      <c r="CF11" s="9">
        <f t="shared" si="9"/>
        <v>0</v>
      </c>
      <c r="CG11" s="9">
        <f t="shared" si="10"/>
        <v>0</v>
      </c>
      <c r="CH11" s="9">
        <f t="shared" si="11"/>
        <v>0</v>
      </c>
      <c r="CI11" s="9">
        <f t="shared" si="12"/>
        <v>0</v>
      </c>
      <c r="CL11" s="1" t="str">
        <f t="shared" si="13"/>
        <v>MTH.200.C -&gt; Transformation losses</v>
      </c>
      <c r="CM11" s="9">
        <f t="shared" si="14"/>
        <v>0</v>
      </c>
      <c r="CN11" s="9">
        <f t="shared" si="15"/>
        <v>0</v>
      </c>
      <c r="CO11" s="9">
        <f t="shared" si="16"/>
        <v>0</v>
      </c>
      <c r="CP11" s="9">
        <f t="shared" si="17"/>
        <v>0</v>
      </c>
      <c r="CQ11" s="9">
        <f t="shared" si="18"/>
        <v>0</v>
      </c>
      <c r="CR11" s="9">
        <f t="shared" si="19"/>
        <v>0</v>
      </c>
      <c r="CS11" s="9">
        <f t="shared" si="20"/>
        <v>0</v>
      </c>
      <c r="CT11" s="9">
        <f t="shared" si="21"/>
        <v>0</v>
      </c>
      <c r="CU11" s="9">
        <f t="shared" si="22"/>
        <v>0</v>
      </c>
      <c r="DO11" s="1" t="s">
        <v>35</v>
      </c>
      <c r="DP11" s="9">
        <v>0</v>
      </c>
      <c r="DQ11" s="9">
        <v>0</v>
      </c>
      <c r="DR11" s="9">
        <v>0</v>
      </c>
      <c r="DS11" s="9">
        <v>0</v>
      </c>
      <c r="DT11" s="9">
        <v>0</v>
      </c>
      <c r="DU11" s="9">
        <v>0</v>
      </c>
      <c r="DV11" s="9">
        <v>0</v>
      </c>
      <c r="DW11" s="9">
        <v>0</v>
      </c>
      <c r="DX11" s="9">
        <v>0</v>
      </c>
      <c r="EA11" s="1" t="s">
        <v>35</v>
      </c>
      <c r="EB11" s="9">
        <v>0</v>
      </c>
      <c r="EC11" s="9">
        <v>0</v>
      </c>
      <c r="ED11" s="9">
        <v>0</v>
      </c>
      <c r="EE11" s="9">
        <v>0</v>
      </c>
      <c r="EF11" s="9">
        <v>0</v>
      </c>
      <c r="EG11" s="9">
        <v>0</v>
      </c>
      <c r="EH11" s="9">
        <v>0</v>
      </c>
      <c r="EI11" s="9">
        <v>0</v>
      </c>
      <c r="EJ11" s="9">
        <v>0</v>
      </c>
      <c r="FW11" s="1" t="str">
        <f t="shared" si="24"/>
        <v>MTH.200.C -&gt; Transformation losses</v>
      </c>
      <c r="FX11" s="9">
        <f t="shared" si="25"/>
        <v>0</v>
      </c>
      <c r="FY11" s="9">
        <f t="shared" si="26"/>
        <v>0</v>
      </c>
      <c r="FZ11" s="9">
        <f t="shared" si="27"/>
        <v>0</v>
      </c>
      <c r="GA11" s="9">
        <f t="shared" si="28"/>
        <v>0</v>
      </c>
      <c r="GB11" s="9">
        <f t="shared" si="29"/>
        <v>0</v>
      </c>
      <c r="GC11" s="9">
        <f t="shared" si="30"/>
        <v>0</v>
      </c>
      <c r="GD11" s="9">
        <f t="shared" si="31"/>
        <v>0</v>
      </c>
      <c r="GE11" s="9">
        <f t="shared" si="32"/>
        <v>0</v>
      </c>
      <c r="GF11" s="9">
        <f t="shared" si="33"/>
        <v>0</v>
      </c>
      <c r="GI11" s="1" t="str">
        <f t="shared" si="34"/>
        <v>MTH.200.C -&gt; Transformation losses</v>
      </c>
      <c r="GJ11" s="9">
        <f t="shared" si="35"/>
        <v>0</v>
      </c>
      <c r="GK11" s="9">
        <f t="shared" si="36"/>
        <v>0</v>
      </c>
      <c r="GL11" s="9">
        <f t="shared" si="37"/>
        <v>0</v>
      </c>
      <c r="GM11" s="9">
        <f t="shared" si="38"/>
        <v>0</v>
      </c>
      <c r="GN11" s="9">
        <f t="shared" si="39"/>
        <v>0</v>
      </c>
      <c r="GO11" s="9">
        <f t="shared" si="40"/>
        <v>0</v>
      </c>
      <c r="GP11" s="9">
        <f t="shared" si="41"/>
        <v>0</v>
      </c>
      <c r="GQ11" s="9">
        <f t="shared" si="42"/>
        <v>0</v>
      </c>
      <c r="GR11" s="9">
        <f t="shared" si="43"/>
        <v>0</v>
      </c>
      <c r="HL11" s="1" t="s">
        <v>35</v>
      </c>
      <c r="HM11" s="13">
        <f>FX11-X_Final_2000!S10</f>
        <v>0</v>
      </c>
      <c r="HN11" s="13">
        <f>FY11-X_Final_2000!T10</f>
        <v>0</v>
      </c>
      <c r="HO11" s="13">
        <f>FZ11-X_Final_2000!U10</f>
        <v>0</v>
      </c>
      <c r="HP11" s="13">
        <f>GA11-X_Final_2000!V10</f>
        <v>0</v>
      </c>
      <c r="HQ11" s="13">
        <f>GB11-X_Final_2000!W10</f>
        <v>0</v>
      </c>
      <c r="HR11" s="13">
        <f>GC11-X_Final_2000!X10</f>
        <v>0</v>
      </c>
      <c r="HS11" s="13">
        <f>GD11-X_Final_2000!Y10</f>
        <v>0</v>
      </c>
      <c r="HT11" s="13">
        <f>GE11-X_Final_2000!Z10</f>
        <v>0</v>
      </c>
      <c r="HU11" s="13">
        <f>GF11-X_Final_2000!AA10</f>
        <v>0</v>
      </c>
      <c r="HX11" s="1" t="s">
        <v>35</v>
      </c>
      <c r="HY11" s="13">
        <f>GJ11-X_Final_2000!AE10</f>
        <v>0</v>
      </c>
      <c r="HZ11" s="13">
        <f>GK11-X_Final_2000!AF10</f>
        <v>0</v>
      </c>
      <c r="IA11" s="13">
        <f>GL11-X_Final_2000!AG10</f>
        <v>0</v>
      </c>
      <c r="IB11" s="13">
        <f>GM11-X_Final_2000!AH10</f>
        <v>0</v>
      </c>
      <c r="IC11" s="13">
        <f>GN11-X_Final_2000!AI10</f>
        <v>0</v>
      </c>
      <c r="ID11" s="13">
        <f>GO11-X_Final_2000!AJ10</f>
        <v>0</v>
      </c>
      <c r="IE11" s="13">
        <f>GP11-X_Final_2000!AK10</f>
        <v>0</v>
      </c>
      <c r="IF11" s="13">
        <f>GQ11-X_Final_2000!AL10</f>
        <v>0</v>
      </c>
      <c r="IG11" s="13">
        <f>GR11-X_Final_2000!AM10</f>
        <v>0</v>
      </c>
    </row>
    <row r="12" spans="1:241" x14ac:dyDescent="0.2">
      <c r="A12" s="1" t="s">
        <v>17</v>
      </c>
      <c r="B12" s="6">
        <v>1</v>
      </c>
      <c r="R12" s="1" t="s">
        <v>17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D12" s="1" t="s">
        <v>17</v>
      </c>
      <c r="AE12" s="6">
        <v>0</v>
      </c>
      <c r="AF12" s="6">
        <v>0</v>
      </c>
      <c r="AG12" s="9">
        <v>0</v>
      </c>
      <c r="AH12" s="9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BZ12" s="1" t="str">
        <f t="shared" si="3"/>
        <v>NG</v>
      </c>
      <c r="CA12" s="9">
        <f t="shared" si="4"/>
        <v>0</v>
      </c>
      <c r="CB12" s="9">
        <f t="shared" si="5"/>
        <v>0</v>
      </c>
      <c r="CC12" s="9">
        <f t="shared" si="6"/>
        <v>0</v>
      </c>
      <c r="CD12" s="9">
        <f t="shared" si="7"/>
        <v>0</v>
      </c>
      <c r="CE12" s="9">
        <f t="shared" si="8"/>
        <v>0</v>
      </c>
      <c r="CF12" s="9">
        <f t="shared" si="9"/>
        <v>0</v>
      </c>
      <c r="CG12" s="9">
        <f t="shared" si="10"/>
        <v>0</v>
      </c>
      <c r="CH12" s="9">
        <f t="shared" si="11"/>
        <v>0</v>
      </c>
      <c r="CI12" s="9">
        <f t="shared" si="12"/>
        <v>0</v>
      </c>
      <c r="CL12" s="1" t="str">
        <f t="shared" si="13"/>
        <v>NG</v>
      </c>
      <c r="CM12" s="9">
        <f t="shared" si="14"/>
        <v>0</v>
      </c>
      <c r="CN12" s="9">
        <f t="shared" si="15"/>
        <v>0</v>
      </c>
      <c r="CO12" s="9">
        <f t="shared" si="16"/>
        <v>0</v>
      </c>
      <c r="CP12" s="9">
        <f t="shared" si="17"/>
        <v>0</v>
      </c>
      <c r="CQ12" s="9">
        <f t="shared" si="18"/>
        <v>0</v>
      </c>
      <c r="CR12" s="9">
        <f t="shared" si="19"/>
        <v>0</v>
      </c>
      <c r="CS12" s="9">
        <f t="shared" si="20"/>
        <v>0</v>
      </c>
      <c r="CT12" s="9">
        <f t="shared" si="21"/>
        <v>0</v>
      </c>
      <c r="CU12" s="9">
        <f t="shared" si="22"/>
        <v>0</v>
      </c>
      <c r="DO12" s="1" t="s">
        <v>17</v>
      </c>
      <c r="DP12" s="9">
        <v>0</v>
      </c>
      <c r="DQ12" s="9">
        <v>0</v>
      </c>
      <c r="DR12" s="9">
        <v>0</v>
      </c>
      <c r="DS12" s="9">
        <v>0</v>
      </c>
      <c r="DT12" s="9">
        <v>0</v>
      </c>
      <c r="DU12" s="9">
        <v>0</v>
      </c>
      <c r="DV12" s="9">
        <v>0</v>
      </c>
      <c r="DW12" s="9">
        <v>0</v>
      </c>
      <c r="DX12" s="9">
        <v>0</v>
      </c>
      <c r="EA12" s="1" t="s">
        <v>17</v>
      </c>
      <c r="EB12" s="9">
        <v>0</v>
      </c>
      <c r="EC12" s="9">
        <v>0</v>
      </c>
      <c r="ED12" s="9">
        <v>0</v>
      </c>
      <c r="EE12" s="9">
        <f t="shared" si="49"/>
        <v>0</v>
      </c>
      <c r="EF12" s="9">
        <v>0</v>
      </c>
      <c r="EG12" s="9">
        <v>0</v>
      </c>
      <c r="EH12" s="9">
        <v>0</v>
      </c>
      <c r="EI12" s="9">
        <v>0</v>
      </c>
      <c r="EJ12" s="9">
        <v>0</v>
      </c>
      <c r="FW12" s="1" t="str">
        <f t="shared" si="24"/>
        <v>NG</v>
      </c>
      <c r="FX12" s="9">
        <f t="shared" si="25"/>
        <v>0</v>
      </c>
      <c r="FY12" s="9">
        <f t="shared" si="26"/>
        <v>0</v>
      </c>
      <c r="FZ12" s="9">
        <f t="shared" si="27"/>
        <v>0</v>
      </c>
      <c r="GA12" s="9">
        <f t="shared" si="28"/>
        <v>0</v>
      </c>
      <c r="GB12" s="9">
        <f t="shared" si="29"/>
        <v>0</v>
      </c>
      <c r="GC12" s="9">
        <f t="shared" si="30"/>
        <v>0</v>
      </c>
      <c r="GD12" s="9">
        <f t="shared" si="31"/>
        <v>0</v>
      </c>
      <c r="GE12" s="9">
        <f t="shared" si="32"/>
        <v>0</v>
      </c>
      <c r="GF12" s="9">
        <f t="shared" si="33"/>
        <v>0</v>
      </c>
      <c r="GI12" s="1" t="str">
        <f t="shared" si="34"/>
        <v>NG</v>
      </c>
      <c r="GJ12" s="9">
        <f t="shared" si="35"/>
        <v>0</v>
      </c>
      <c r="GK12" s="9">
        <f t="shared" si="36"/>
        <v>0</v>
      </c>
      <c r="GL12" s="9">
        <f t="shared" si="37"/>
        <v>0</v>
      </c>
      <c r="GM12" s="9">
        <f t="shared" si="38"/>
        <v>0</v>
      </c>
      <c r="GN12" s="9">
        <f t="shared" si="39"/>
        <v>0</v>
      </c>
      <c r="GO12" s="9">
        <f t="shared" si="40"/>
        <v>0</v>
      </c>
      <c r="GP12" s="9">
        <f t="shared" si="41"/>
        <v>0</v>
      </c>
      <c r="GQ12" s="9">
        <f t="shared" si="42"/>
        <v>0</v>
      </c>
      <c r="GR12" s="9">
        <f t="shared" si="43"/>
        <v>0</v>
      </c>
      <c r="HL12" s="1" t="s">
        <v>17</v>
      </c>
      <c r="HM12" s="13">
        <f>FX12-X_Final_2000!S11</f>
        <v>0</v>
      </c>
      <c r="HN12" s="13">
        <f>FY12-X_Final_2000!T11</f>
        <v>0</v>
      </c>
      <c r="HO12" s="13">
        <f>FZ12-X_Final_2000!U11</f>
        <v>0</v>
      </c>
      <c r="HP12" s="13">
        <f>GA12-X_Final_2000!V11</f>
        <v>0</v>
      </c>
      <c r="HQ12" s="13">
        <f>GB12-X_Final_2000!W11</f>
        <v>0</v>
      </c>
      <c r="HR12" s="13">
        <f>GC12-X_Final_2000!X11</f>
        <v>0</v>
      </c>
      <c r="HS12" s="13">
        <f>GD12-X_Final_2000!Y11</f>
        <v>0</v>
      </c>
      <c r="HT12" s="13">
        <f>GE12-X_Final_2000!Z11</f>
        <v>0</v>
      </c>
      <c r="HU12" s="13">
        <f>GF12-X_Final_2000!AA11</f>
        <v>0</v>
      </c>
      <c r="HX12" s="1" t="s">
        <v>17</v>
      </c>
      <c r="HY12" s="13">
        <f>GJ12-X_Final_2000!AE11</f>
        <v>0</v>
      </c>
      <c r="HZ12" s="13">
        <f>GK12-X_Final_2000!AF11</f>
        <v>0</v>
      </c>
      <c r="IA12" s="13">
        <f>GL12-X_Final_2000!AG11</f>
        <v>0</v>
      </c>
      <c r="IB12" s="13">
        <f>GM12-X_Final_2000!AH11</f>
        <v>0</v>
      </c>
      <c r="IC12" s="13">
        <f>GN12-X_Final_2000!AI11</f>
        <v>0</v>
      </c>
      <c r="ID12" s="13">
        <f>GO12-X_Final_2000!AJ11</f>
        <v>0</v>
      </c>
      <c r="IE12" s="13">
        <f>GP12-X_Final_2000!AK11</f>
        <v>0</v>
      </c>
      <c r="IF12" s="13">
        <f>GQ12-X_Final_2000!AL11</f>
        <v>0</v>
      </c>
      <c r="IG12" s="13">
        <f>GR12-X_Final_2000!AM11</f>
        <v>0</v>
      </c>
    </row>
    <row r="13" spans="1:241" x14ac:dyDescent="0.2">
      <c r="A13" s="1" t="s">
        <v>18</v>
      </c>
      <c r="B13" s="6">
        <v>1</v>
      </c>
      <c r="R13" s="1" t="s">
        <v>18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D13" s="1" t="s">
        <v>18</v>
      </c>
      <c r="AE13" s="6">
        <v>0</v>
      </c>
      <c r="AF13" s="6">
        <v>0</v>
      </c>
      <c r="AG13" s="9">
        <v>0</v>
      </c>
      <c r="AH13" s="9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BZ13" s="1" t="str">
        <f t="shared" si="3"/>
        <v>NG [from Dist.]</v>
      </c>
      <c r="CA13" s="9">
        <f t="shared" si="4"/>
        <v>0</v>
      </c>
      <c r="CB13" s="9">
        <f t="shared" si="5"/>
        <v>0</v>
      </c>
      <c r="CC13" s="9">
        <f t="shared" si="6"/>
        <v>0</v>
      </c>
      <c r="CD13" s="9">
        <f t="shared" si="7"/>
        <v>0</v>
      </c>
      <c r="CE13" s="9">
        <f t="shared" si="8"/>
        <v>0</v>
      </c>
      <c r="CF13" s="9">
        <f t="shared" si="9"/>
        <v>0</v>
      </c>
      <c r="CG13" s="9">
        <f t="shared" si="10"/>
        <v>0</v>
      </c>
      <c r="CH13" s="9">
        <f t="shared" si="11"/>
        <v>0</v>
      </c>
      <c r="CI13" s="9">
        <f t="shared" si="12"/>
        <v>0</v>
      </c>
      <c r="CL13" s="1" t="str">
        <f t="shared" si="13"/>
        <v>NG [from Dist.]</v>
      </c>
      <c r="CM13" s="9">
        <f t="shared" si="14"/>
        <v>0</v>
      </c>
      <c r="CN13" s="9">
        <f t="shared" si="15"/>
        <v>0</v>
      </c>
      <c r="CO13" s="9">
        <f t="shared" si="16"/>
        <v>0</v>
      </c>
      <c r="CP13" s="9">
        <f t="shared" si="17"/>
        <v>0</v>
      </c>
      <c r="CQ13" s="9">
        <f t="shared" si="18"/>
        <v>0</v>
      </c>
      <c r="CR13" s="9">
        <f t="shared" si="19"/>
        <v>0</v>
      </c>
      <c r="CS13" s="9">
        <f t="shared" si="20"/>
        <v>0</v>
      </c>
      <c r="CT13" s="9">
        <f t="shared" si="21"/>
        <v>0</v>
      </c>
      <c r="CU13" s="9">
        <f t="shared" si="22"/>
        <v>0</v>
      </c>
      <c r="DO13" s="1" t="s">
        <v>18</v>
      </c>
      <c r="DP13" s="9">
        <v>0</v>
      </c>
      <c r="DQ13" s="9">
        <v>0</v>
      </c>
      <c r="DR13" s="9">
        <v>0</v>
      </c>
      <c r="DS13" s="9">
        <v>0</v>
      </c>
      <c r="DT13" s="9">
        <v>0</v>
      </c>
      <c r="DU13" s="9">
        <v>0</v>
      </c>
      <c r="DV13" s="9">
        <v>0</v>
      </c>
      <c r="DW13" s="9">
        <v>0</v>
      </c>
      <c r="DX13" s="9">
        <v>0</v>
      </c>
      <c r="EA13" s="1" t="s">
        <v>18</v>
      </c>
      <c r="EB13" s="9">
        <v>0</v>
      </c>
      <c r="EC13" s="9">
        <v>0</v>
      </c>
      <c r="ED13" s="9">
        <v>0</v>
      </c>
      <c r="EE13" s="9">
        <v>0</v>
      </c>
      <c r="EF13" s="9">
        <v>0</v>
      </c>
      <c r="EG13" s="9">
        <v>0</v>
      </c>
      <c r="EH13" s="9">
        <v>0</v>
      </c>
      <c r="EI13" s="9">
        <v>0</v>
      </c>
      <c r="EJ13" s="9">
        <f t="shared" si="54"/>
        <v>0</v>
      </c>
      <c r="FW13" s="1" t="str">
        <f t="shared" si="24"/>
        <v>NG [from Dist.]</v>
      </c>
      <c r="FX13" s="9">
        <f t="shared" si="25"/>
        <v>0</v>
      </c>
      <c r="FY13" s="9">
        <f t="shared" si="26"/>
        <v>0</v>
      </c>
      <c r="FZ13" s="9">
        <f t="shared" si="27"/>
        <v>0</v>
      </c>
      <c r="GA13" s="9">
        <f t="shared" si="28"/>
        <v>0</v>
      </c>
      <c r="GB13" s="9">
        <f t="shared" si="29"/>
        <v>0</v>
      </c>
      <c r="GC13" s="9">
        <f t="shared" si="30"/>
        <v>0</v>
      </c>
      <c r="GD13" s="9">
        <f t="shared" si="31"/>
        <v>0</v>
      </c>
      <c r="GE13" s="9">
        <f t="shared" si="32"/>
        <v>0</v>
      </c>
      <c r="GF13" s="9">
        <f t="shared" si="33"/>
        <v>0</v>
      </c>
      <c r="GI13" s="1" t="str">
        <f t="shared" si="34"/>
        <v>NG [from Dist.]</v>
      </c>
      <c r="GJ13" s="9">
        <f t="shared" si="35"/>
        <v>0</v>
      </c>
      <c r="GK13" s="9">
        <f t="shared" si="36"/>
        <v>0</v>
      </c>
      <c r="GL13" s="9">
        <f t="shared" si="37"/>
        <v>0</v>
      </c>
      <c r="GM13" s="9">
        <f t="shared" si="38"/>
        <v>0</v>
      </c>
      <c r="GN13" s="9">
        <f t="shared" si="39"/>
        <v>0</v>
      </c>
      <c r="GO13" s="9">
        <f t="shared" si="40"/>
        <v>0</v>
      </c>
      <c r="GP13" s="9">
        <f t="shared" si="41"/>
        <v>0</v>
      </c>
      <c r="GQ13" s="9">
        <f t="shared" si="42"/>
        <v>0</v>
      </c>
      <c r="GR13" s="9">
        <f t="shared" si="43"/>
        <v>0</v>
      </c>
      <c r="HL13" s="1" t="s">
        <v>18</v>
      </c>
      <c r="HM13" s="13">
        <f>FX13-X_Final_2000!S12</f>
        <v>0</v>
      </c>
      <c r="HN13" s="13">
        <f>FY13-X_Final_2000!T12</f>
        <v>0</v>
      </c>
      <c r="HO13" s="13">
        <f>FZ13-X_Final_2000!U12</f>
        <v>0</v>
      </c>
      <c r="HP13" s="13">
        <f>GA13-X_Final_2000!V12</f>
        <v>0</v>
      </c>
      <c r="HQ13" s="13">
        <f>GB13-X_Final_2000!W12</f>
        <v>0</v>
      </c>
      <c r="HR13" s="13">
        <f>GC13-X_Final_2000!X12</f>
        <v>0</v>
      </c>
      <c r="HS13" s="13">
        <f>GD13-X_Final_2000!Y12</f>
        <v>0</v>
      </c>
      <c r="HT13" s="13">
        <f>GE13-X_Final_2000!Z12</f>
        <v>0</v>
      </c>
      <c r="HU13" s="13">
        <f>GF13-X_Final_2000!AA12</f>
        <v>0</v>
      </c>
      <c r="HX13" s="1" t="s">
        <v>18</v>
      </c>
      <c r="HY13" s="13">
        <f>GJ13-X_Final_2000!AE12</f>
        <v>0</v>
      </c>
      <c r="HZ13" s="13">
        <f>GK13-X_Final_2000!AF12</f>
        <v>0</v>
      </c>
      <c r="IA13" s="13">
        <f>GL13-X_Final_2000!AG12</f>
        <v>0</v>
      </c>
      <c r="IB13" s="13">
        <f>GM13-X_Final_2000!AH12</f>
        <v>0</v>
      </c>
      <c r="IC13" s="13">
        <f>GN13-X_Final_2000!AI12</f>
        <v>0</v>
      </c>
      <c r="ID13" s="13">
        <f>GO13-X_Final_2000!AJ12</f>
        <v>0</v>
      </c>
      <c r="IE13" s="13">
        <f>GP13-X_Final_2000!AK12</f>
        <v>0</v>
      </c>
      <c r="IF13" s="13">
        <f>GQ13-X_Final_2000!AL12</f>
        <v>0</v>
      </c>
      <c r="IG13" s="13">
        <f>GR13-X_Final_2000!AM12</f>
        <v>0</v>
      </c>
    </row>
    <row r="14" spans="1:241" x14ac:dyDescent="0.2">
      <c r="A14" s="1" t="s">
        <v>19</v>
      </c>
      <c r="B14" s="6">
        <v>1</v>
      </c>
      <c r="R14" s="1" t="s">
        <v>19</v>
      </c>
      <c r="S14" s="6">
        <v>0</v>
      </c>
      <c r="T14" s="6">
        <v>0</v>
      </c>
      <c r="U14" s="6">
        <v>0</v>
      </c>
      <c r="V14" s="6">
        <v>2000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D14" s="1" t="s">
        <v>19</v>
      </c>
      <c r="AE14" s="6">
        <v>0</v>
      </c>
      <c r="AF14" s="6">
        <v>0</v>
      </c>
      <c r="AG14" s="9">
        <v>0</v>
      </c>
      <c r="AH14" s="9">
        <v>1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BZ14" s="1" t="str">
        <f t="shared" si="3"/>
        <v>NG [from Wells]</v>
      </c>
      <c r="CA14" s="9">
        <f t="shared" si="4"/>
        <v>0</v>
      </c>
      <c r="CB14" s="9">
        <f t="shared" si="5"/>
        <v>0</v>
      </c>
      <c r="CC14" s="9">
        <f t="shared" si="6"/>
        <v>0</v>
      </c>
      <c r="CD14" s="9">
        <f t="shared" si="7"/>
        <v>2000</v>
      </c>
      <c r="CE14" s="9">
        <f t="shared" si="8"/>
        <v>0</v>
      </c>
      <c r="CF14" s="9">
        <f t="shared" si="9"/>
        <v>0</v>
      </c>
      <c r="CG14" s="9">
        <f t="shared" si="10"/>
        <v>0</v>
      </c>
      <c r="CH14" s="9">
        <f t="shared" si="11"/>
        <v>0</v>
      </c>
      <c r="CI14" s="9">
        <f t="shared" si="12"/>
        <v>0</v>
      </c>
      <c r="CL14" s="1" t="str">
        <f t="shared" si="13"/>
        <v>NG [from Wells]</v>
      </c>
      <c r="CM14" s="9">
        <f t="shared" si="14"/>
        <v>0</v>
      </c>
      <c r="CN14" s="9">
        <f t="shared" si="15"/>
        <v>0</v>
      </c>
      <c r="CO14" s="9">
        <f t="shared" si="16"/>
        <v>0</v>
      </c>
      <c r="CP14" s="9">
        <f t="shared" si="17"/>
        <v>1</v>
      </c>
      <c r="CQ14" s="9">
        <f t="shared" si="18"/>
        <v>0</v>
      </c>
      <c r="CR14" s="9">
        <f t="shared" si="19"/>
        <v>0</v>
      </c>
      <c r="CS14" s="9">
        <f t="shared" si="20"/>
        <v>0</v>
      </c>
      <c r="CT14" s="9">
        <f t="shared" si="21"/>
        <v>0</v>
      </c>
      <c r="CU14" s="9">
        <f t="shared" si="22"/>
        <v>0</v>
      </c>
      <c r="DO14" s="1" t="s">
        <v>19</v>
      </c>
      <c r="DP14" s="9">
        <v>0</v>
      </c>
      <c r="DQ14" s="9">
        <v>0</v>
      </c>
      <c r="DR14" s="9">
        <v>0</v>
      </c>
      <c r="DS14" s="9">
        <f>DS50</f>
        <v>2080</v>
      </c>
      <c r="DT14" s="9">
        <v>0</v>
      </c>
      <c r="DU14" s="9">
        <v>0</v>
      </c>
      <c r="DV14" s="9">
        <v>0</v>
      </c>
      <c r="DW14" s="9">
        <v>0</v>
      </c>
      <c r="DX14" s="9">
        <v>0</v>
      </c>
      <c r="EA14" s="1" t="s">
        <v>19</v>
      </c>
      <c r="EB14" s="9">
        <v>0</v>
      </c>
      <c r="EC14" s="9">
        <v>0</v>
      </c>
      <c r="ED14" s="9">
        <v>0</v>
      </c>
      <c r="EE14" s="9">
        <f t="shared" si="49"/>
        <v>1</v>
      </c>
      <c r="EF14" s="9">
        <f t="shared" si="50"/>
        <v>0</v>
      </c>
      <c r="EG14" s="9">
        <v>0</v>
      </c>
      <c r="EH14" s="9">
        <v>0</v>
      </c>
      <c r="EI14" s="9">
        <v>0</v>
      </c>
      <c r="EJ14" s="9">
        <v>0</v>
      </c>
      <c r="FW14" s="1" t="str">
        <f t="shared" si="24"/>
        <v>NG [from Wells]</v>
      </c>
      <c r="FX14" s="9">
        <f t="shared" si="25"/>
        <v>0</v>
      </c>
      <c r="FY14" s="9">
        <f t="shared" si="26"/>
        <v>0</v>
      </c>
      <c r="FZ14" s="9">
        <f t="shared" si="27"/>
        <v>0</v>
      </c>
      <c r="GA14" s="9">
        <f t="shared" si="28"/>
        <v>2080</v>
      </c>
      <c r="GB14" s="9">
        <f t="shared" si="29"/>
        <v>0</v>
      </c>
      <c r="GC14" s="9">
        <f t="shared" si="30"/>
        <v>0</v>
      </c>
      <c r="GD14" s="9">
        <f t="shared" si="31"/>
        <v>0</v>
      </c>
      <c r="GE14" s="9">
        <f t="shared" si="32"/>
        <v>0</v>
      </c>
      <c r="GF14" s="9">
        <f t="shared" si="33"/>
        <v>0</v>
      </c>
      <c r="GI14" s="1" t="str">
        <f t="shared" si="34"/>
        <v>NG [from Wells]</v>
      </c>
      <c r="GJ14" s="9">
        <f t="shared" si="35"/>
        <v>0</v>
      </c>
      <c r="GK14" s="9">
        <f t="shared" si="36"/>
        <v>0</v>
      </c>
      <c r="GL14" s="9">
        <f t="shared" si="37"/>
        <v>0</v>
      </c>
      <c r="GM14" s="9">
        <f t="shared" si="38"/>
        <v>1</v>
      </c>
      <c r="GN14" s="9">
        <f t="shared" si="39"/>
        <v>0</v>
      </c>
      <c r="GO14" s="9">
        <f t="shared" si="40"/>
        <v>0</v>
      </c>
      <c r="GP14" s="9">
        <f t="shared" si="41"/>
        <v>0</v>
      </c>
      <c r="GQ14" s="9">
        <f t="shared" si="42"/>
        <v>0</v>
      </c>
      <c r="GR14" s="9">
        <f t="shared" si="43"/>
        <v>0</v>
      </c>
      <c r="HL14" s="1" t="s">
        <v>19</v>
      </c>
      <c r="HM14" s="13">
        <f>FX14-X_Final_2000!S13</f>
        <v>0</v>
      </c>
      <c r="HN14" s="13">
        <f>FY14-X_Final_2000!T13</f>
        <v>0</v>
      </c>
      <c r="HO14" s="13">
        <f>FZ14-X_Final_2000!U13</f>
        <v>0</v>
      </c>
      <c r="HP14" s="13">
        <f>GA14-X_Final_2000!V13</f>
        <v>0</v>
      </c>
      <c r="HQ14" s="13">
        <f>GB14-X_Final_2000!W13</f>
        <v>0</v>
      </c>
      <c r="HR14" s="13">
        <f>GC14-X_Final_2000!X13</f>
        <v>0</v>
      </c>
      <c r="HS14" s="13">
        <f>GD14-X_Final_2000!Y13</f>
        <v>0</v>
      </c>
      <c r="HT14" s="13">
        <f>GE14-X_Final_2000!Z13</f>
        <v>0</v>
      </c>
      <c r="HU14" s="13">
        <f>GF14-X_Final_2000!AA13</f>
        <v>0</v>
      </c>
      <c r="HX14" s="1" t="s">
        <v>19</v>
      </c>
      <c r="HY14" s="13">
        <f>GJ14-X_Final_2000!AE13</f>
        <v>0</v>
      </c>
      <c r="HZ14" s="13">
        <f>GK14-X_Final_2000!AF13</f>
        <v>0</v>
      </c>
      <c r="IA14" s="13">
        <f>GL14-X_Final_2000!AG13</f>
        <v>0</v>
      </c>
      <c r="IB14" s="13">
        <f>GM14-X_Final_2000!AH13</f>
        <v>0</v>
      </c>
      <c r="IC14" s="13">
        <f>GN14-X_Final_2000!AI13</f>
        <v>0</v>
      </c>
      <c r="ID14" s="13">
        <f>GO14-X_Final_2000!AJ13</f>
        <v>0</v>
      </c>
      <c r="IE14" s="13">
        <f>GP14-X_Final_2000!AK13</f>
        <v>0</v>
      </c>
      <c r="IF14" s="13">
        <f>GQ14-X_Final_2000!AL13</f>
        <v>0</v>
      </c>
      <c r="IG14" s="13">
        <f>GR14-X_Final_2000!AM13</f>
        <v>0</v>
      </c>
    </row>
    <row r="15" spans="1:241" x14ac:dyDescent="0.2">
      <c r="A15" s="1" t="s">
        <v>20</v>
      </c>
      <c r="B15" s="6">
        <v>1</v>
      </c>
      <c r="R15" s="1" t="s">
        <v>20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D15" s="1" t="s">
        <v>20</v>
      </c>
      <c r="AE15" s="6">
        <v>0</v>
      </c>
      <c r="AF15" s="6">
        <v>0</v>
      </c>
      <c r="AG15" s="9">
        <v>0</v>
      </c>
      <c r="AH15" s="9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BZ15" s="1" t="str">
        <f t="shared" si="3"/>
        <v>Petrol</v>
      </c>
      <c r="CA15" s="9">
        <f t="shared" si="4"/>
        <v>0</v>
      </c>
      <c r="CB15" s="9">
        <f t="shared" si="5"/>
        <v>0</v>
      </c>
      <c r="CC15" s="9">
        <f t="shared" si="6"/>
        <v>0</v>
      </c>
      <c r="CD15" s="9">
        <f t="shared" si="7"/>
        <v>0</v>
      </c>
      <c r="CE15" s="9">
        <f t="shared" si="8"/>
        <v>0</v>
      </c>
      <c r="CF15" s="9">
        <f t="shared" si="9"/>
        <v>0</v>
      </c>
      <c r="CG15" s="9">
        <f t="shared" si="10"/>
        <v>0</v>
      </c>
      <c r="CH15" s="9">
        <f t="shared" si="11"/>
        <v>0</v>
      </c>
      <c r="CI15" s="9">
        <f t="shared" si="12"/>
        <v>0</v>
      </c>
      <c r="CL15" s="1" t="str">
        <f t="shared" si="13"/>
        <v>Petrol</v>
      </c>
      <c r="CM15" s="9">
        <f t="shared" si="14"/>
        <v>0</v>
      </c>
      <c r="CN15" s="9">
        <f t="shared" si="15"/>
        <v>0</v>
      </c>
      <c r="CO15" s="9">
        <f t="shared" si="16"/>
        <v>0</v>
      </c>
      <c r="CP15" s="9">
        <f t="shared" si="17"/>
        <v>0</v>
      </c>
      <c r="CQ15" s="9">
        <f t="shared" si="18"/>
        <v>0</v>
      </c>
      <c r="CR15" s="9">
        <f t="shared" si="19"/>
        <v>0</v>
      </c>
      <c r="CS15" s="9">
        <f t="shared" si="20"/>
        <v>0</v>
      </c>
      <c r="CT15" s="9">
        <f t="shared" si="21"/>
        <v>0</v>
      </c>
      <c r="CU15" s="9">
        <f t="shared" si="22"/>
        <v>0</v>
      </c>
      <c r="DO15" s="1" t="s">
        <v>20</v>
      </c>
      <c r="DP15" s="9">
        <v>0</v>
      </c>
      <c r="DQ15" s="9">
        <v>0</v>
      </c>
      <c r="DR15" s="9">
        <v>0</v>
      </c>
      <c r="DS15" s="9">
        <v>0</v>
      </c>
      <c r="DT15" s="9">
        <v>0</v>
      </c>
      <c r="DU15" s="9">
        <v>0</v>
      </c>
      <c r="DV15" s="9">
        <v>0</v>
      </c>
      <c r="DW15" s="9">
        <v>0</v>
      </c>
      <c r="DX15" s="9">
        <v>0</v>
      </c>
      <c r="EA15" s="1" t="s">
        <v>20</v>
      </c>
      <c r="EB15" s="9">
        <v>0</v>
      </c>
      <c r="EC15" s="9">
        <v>0</v>
      </c>
      <c r="ED15" s="9">
        <v>0</v>
      </c>
      <c r="EE15" s="9">
        <v>0</v>
      </c>
      <c r="EF15" s="9">
        <v>0</v>
      </c>
      <c r="EG15" s="9">
        <v>0</v>
      </c>
      <c r="EH15" s="9">
        <v>0</v>
      </c>
      <c r="EI15" s="9">
        <f t="shared" si="51"/>
        <v>0</v>
      </c>
      <c r="EJ15" s="9">
        <v>0</v>
      </c>
      <c r="FW15" s="1" t="str">
        <f t="shared" si="24"/>
        <v>Petrol</v>
      </c>
      <c r="FX15" s="9">
        <f t="shared" si="25"/>
        <v>0</v>
      </c>
      <c r="FY15" s="9">
        <f t="shared" si="26"/>
        <v>0</v>
      </c>
      <c r="FZ15" s="9">
        <f t="shared" si="27"/>
        <v>0</v>
      </c>
      <c r="GA15" s="9">
        <f t="shared" si="28"/>
        <v>0</v>
      </c>
      <c r="GB15" s="9">
        <f t="shared" si="29"/>
        <v>0</v>
      </c>
      <c r="GC15" s="9">
        <f t="shared" si="30"/>
        <v>0</v>
      </c>
      <c r="GD15" s="9">
        <f t="shared" si="31"/>
        <v>0</v>
      </c>
      <c r="GE15" s="9">
        <f t="shared" si="32"/>
        <v>0</v>
      </c>
      <c r="GF15" s="9">
        <f t="shared" si="33"/>
        <v>0</v>
      </c>
      <c r="GI15" s="1" t="str">
        <f t="shared" si="34"/>
        <v>Petrol</v>
      </c>
      <c r="GJ15" s="9">
        <f t="shared" si="35"/>
        <v>0</v>
      </c>
      <c r="GK15" s="9">
        <f t="shared" si="36"/>
        <v>0</v>
      </c>
      <c r="GL15" s="9">
        <f t="shared" si="37"/>
        <v>0</v>
      </c>
      <c r="GM15" s="9">
        <f t="shared" si="38"/>
        <v>0</v>
      </c>
      <c r="GN15" s="9">
        <f t="shared" si="39"/>
        <v>0</v>
      </c>
      <c r="GO15" s="9">
        <f t="shared" si="40"/>
        <v>0</v>
      </c>
      <c r="GP15" s="9">
        <f t="shared" si="41"/>
        <v>0</v>
      </c>
      <c r="GQ15" s="9">
        <f t="shared" si="42"/>
        <v>0</v>
      </c>
      <c r="GR15" s="9">
        <f t="shared" si="43"/>
        <v>0</v>
      </c>
      <c r="HL15" s="1" t="s">
        <v>20</v>
      </c>
      <c r="HM15" s="13">
        <f>FX15-X_Final_2000!S14</f>
        <v>0</v>
      </c>
      <c r="HN15" s="13">
        <f>FY15-X_Final_2000!T14</f>
        <v>0</v>
      </c>
      <c r="HO15" s="13">
        <f>FZ15-X_Final_2000!U14</f>
        <v>0</v>
      </c>
      <c r="HP15" s="13">
        <f>GA15-X_Final_2000!V14</f>
        <v>0</v>
      </c>
      <c r="HQ15" s="13">
        <f>GB15-X_Final_2000!W14</f>
        <v>0</v>
      </c>
      <c r="HR15" s="13">
        <f>GC15-X_Final_2000!X14</f>
        <v>0</v>
      </c>
      <c r="HS15" s="13">
        <f>GD15-X_Final_2000!Y14</f>
        <v>0</v>
      </c>
      <c r="HT15" s="13">
        <f>GE15-X_Final_2000!Z14</f>
        <v>0</v>
      </c>
      <c r="HU15" s="13">
        <f>GF15-X_Final_2000!AA14</f>
        <v>0</v>
      </c>
      <c r="HX15" s="1" t="s">
        <v>20</v>
      </c>
      <c r="HY15" s="13">
        <f>GJ15-X_Final_2000!AE14</f>
        <v>0</v>
      </c>
      <c r="HZ15" s="13">
        <f>GK15-X_Final_2000!AF14</f>
        <v>0</v>
      </c>
      <c r="IA15" s="13">
        <f>GL15-X_Final_2000!AG14</f>
        <v>0</v>
      </c>
      <c r="IB15" s="13">
        <f>GM15-X_Final_2000!AH14</f>
        <v>0</v>
      </c>
      <c r="IC15" s="13">
        <f>GN15-X_Final_2000!AI14</f>
        <v>0</v>
      </c>
      <c r="ID15" s="13">
        <f>GO15-X_Final_2000!AJ14</f>
        <v>0</v>
      </c>
      <c r="IE15" s="13">
        <f>GP15-X_Final_2000!AK14</f>
        <v>0</v>
      </c>
      <c r="IF15" s="13">
        <f>GQ15-X_Final_2000!AL14</f>
        <v>0</v>
      </c>
      <c r="IG15" s="13">
        <f>GR15-X_Final_2000!AM14</f>
        <v>0</v>
      </c>
    </row>
    <row r="16" spans="1:241" x14ac:dyDescent="0.2">
      <c r="A16" s="1" t="s">
        <v>21</v>
      </c>
      <c r="B16" s="6">
        <v>1</v>
      </c>
      <c r="R16" s="1" t="s">
        <v>21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500</v>
      </c>
      <c r="AA16" s="6">
        <v>0</v>
      </c>
      <c r="AD16" s="1" t="s">
        <v>21</v>
      </c>
      <c r="AE16" s="6">
        <v>0</v>
      </c>
      <c r="AF16" s="6">
        <v>0</v>
      </c>
      <c r="AG16" s="9">
        <v>0</v>
      </c>
      <c r="AH16" s="9">
        <v>0</v>
      </c>
      <c r="AI16" s="6">
        <v>0</v>
      </c>
      <c r="AJ16" s="6">
        <v>0</v>
      </c>
      <c r="AK16" s="6">
        <v>0</v>
      </c>
      <c r="AL16" s="6">
        <v>1</v>
      </c>
      <c r="AM16" s="6">
        <v>0</v>
      </c>
      <c r="BZ16" s="1" t="str">
        <f t="shared" si="3"/>
        <v>Petrol [from Dist.]</v>
      </c>
      <c r="CA16" s="9">
        <f t="shared" si="4"/>
        <v>0</v>
      </c>
      <c r="CB16" s="9">
        <f t="shared" si="5"/>
        <v>0</v>
      </c>
      <c r="CC16" s="9">
        <f t="shared" si="6"/>
        <v>0</v>
      </c>
      <c r="CD16" s="9">
        <f t="shared" si="7"/>
        <v>0</v>
      </c>
      <c r="CE16" s="9">
        <f t="shared" si="8"/>
        <v>0</v>
      </c>
      <c r="CF16" s="9">
        <f t="shared" si="9"/>
        <v>0</v>
      </c>
      <c r="CG16" s="9">
        <f t="shared" si="10"/>
        <v>0</v>
      </c>
      <c r="CH16" s="9">
        <f t="shared" si="11"/>
        <v>500</v>
      </c>
      <c r="CI16" s="9">
        <f t="shared" si="12"/>
        <v>0</v>
      </c>
      <c r="CL16" s="1" t="str">
        <f t="shared" si="13"/>
        <v>Petrol [from Dist.]</v>
      </c>
      <c r="CM16" s="9">
        <f t="shared" si="14"/>
        <v>0</v>
      </c>
      <c r="CN16" s="9">
        <f t="shared" si="15"/>
        <v>0</v>
      </c>
      <c r="CO16" s="9">
        <f t="shared" si="16"/>
        <v>0</v>
      </c>
      <c r="CP16" s="9">
        <f t="shared" si="17"/>
        <v>0</v>
      </c>
      <c r="CQ16" s="9">
        <f t="shared" si="18"/>
        <v>0</v>
      </c>
      <c r="CR16" s="9">
        <f t="shared" si="19"/>
        <v>0</v>
      </c>
      <c r="CS16" s="9">
        <f t="shared" si="20"/>
        <v>0</v>
      </c>
      <c r="CT16" s="9">
        <f t="shared" si="21"/>
        <v>1</v>
      </c>
      <c r="CU16" s="9">
        <f t="shared" si="22"/>
        <v>0</v>
      </c>
      <c r="DO16" s="1" t="s">
        <v>21</v>
      </c>
      <c r="DP16" s="9">
        <v>0</v>
      </c>
      <c r="DQ16" s="9">
        <v>0</v>
      </c>
      <c r="DR16" s="9">
        <v>0</v>
      </c>
      <c r="DS16" s="9">
        <v>0</v>
      </c>
      <c r="DT16" s="9">
        <v>0</v>
      </c>
      <c r="DU16" s="9">
        <v>0</v>
      </c>
      <c r="DV16" s="9">
        <v>0</v>
      </c>
      <c r="DW16" s="9">
        <f>DW52</f>
        <v>530</v>
      </c>
      <c r="DX16" s="9">
        <v>0</v>
      </c>
      <c r="EA16" s="1" t="s">
        <v>21</v>
      </c>
      <c r="EB16" s="9">
        <v>0</v>
      </c>
      <c r="EC16" s="9">
        <v>0</v>
      </c>
      <c r="ED16" s="9">
        <v>0</v>
      </c>
      <c r="EE16" s="9">
        <v>0</v>
      </c>
      <c r="EF16" s="9">
        <v>0</v>
      </c>
      <c r="EG16" s="9">
        <v>0</v>
      </c>
      <c r="EH16" s="9">
        <v>0</v>
      </c>
      <c r="EI16" s="9">
        <f t="shared" si="51"/>
        <v>1</v>
      </c>
      <c r="EJ16" s="9">
        <v>0</v>
      </c>
      <c r="FW16" s="1" t="str">
        <f t="shared" si="24"/>
        <v>Petrol [from Dist.]</v>
      </c>
      <c r="FX16" s="9">
        <f t="shared" si="25"/>
        <v>0</v>
      </c>
      <c r="FY16" s="9">
        <f t="shared" si="26"/>
        <v>0</v>
      </c>
      <c r="FZ16" s="9">
        <f t="shared" si="27"/>
        <v>0</v>
      </c>
      <c r="GA16" s="9">
        <f t="shared" si="28"/>
        <v>0</v>
      </c>
      <c r="GB16" s="9">
        <f t="shared" si="29"/>
        <v>0</v>
      </c>
      <c r="GC16" s="9">
        <f t="shared" si="30"/>
        <v>0</v>
      </c>
      <c r="GD16" s="9">
        <f t="shared" si="31"/>
        <v>0</v>
      </c>
      <c r="GE16" s="9">
        <f t="shared" si="32"/>
        <v>530</v>
      </c>
      <c r="GF16" s="9">
        <f t="shared" si="33"/>
        <v>0</v>
      </c>
      <c r="GI16" s="1" t="str">
        <f t="shared" si="34"/>
        <v>Petrol [from Dist.]</v>
      </c>
      <c r="GJ16" s="9">
        <f t="shared" si="35"/>
        <v>0</v>
      </c>
      <c r="GK16" s="9">
        <f t="shared" si="36"/>
        <v>0</v>
      </c>
      <c r="GL16" s="9">
        <f t="shared" si="37"/>
        <v>0</v>
      </c>
      <c r="GM16" s="9">
        <f t="shared" si="38"/>
        <v>0</v>
      </c>
      <c r="GN16" s="9">
        <f t="shared" si="39"/>
        <v>0</v>
      </c>
      <c r="GO16" s="9">
        <f t="shared" si="40"/>
        <v>0</v>
      </c>
      <c r="GP16" s="9">
        <f t="shared" si="41"/>
        <v>0</v>
      </c>
      <c r="GQ16" s="9">
        <f t="shared" si="42"/>
        <v>1</v>
      </c>
      <c r="GR16" s="9">
        <f t="shared" si="43"/>
        <v>0</v>
      </c>
      <c r="HL16" s="1" t="s">
        <v>21</v>
      </c>
      <c r="HM16" s="13">
        <f>FX16-X_Final_2000!S15</f>
        <v>0</v>
      </c>
      <c r="HN16" s="13">
        <f>FY16-X_Final_2000!T15</f>
        <v>0</v>
      </c>
      <c r="HO16" s="13">
        <f>FZ16-X_Final_2000!U15</f>
        <v>0</v>
      </c>
      <c r="HP16" s="13">
        <f>GA16-X_Final_2000!V15</f>
        <v>0</v>
      </c>
      <c r="HQ16" s="13">
        <f>GB16-X_Final_2000!W15</f>
        <v>0</v>
      </c>
      <c r="HR16" s="13">
        <f>GC16-X_Final_2000!X15</f>
        <v>0</v>
      </c>
      <c r="HS16" s="13">
        <f>GD16-X_Final_2000!Y15</f>
        <v>0</v>
      </c>
      <c r="HT16" s="13">
        <f>GE16-X_Final_2000!Z15</f>
        <v>0</v>
      </c>
      <c r="HU16" s="13">
        <f>GF16-X_Final_2000!AA15</f>
        <v>0</v>
      </c>
      <c r="HX16" s="1" t="s">
        <v>21</v>
      </c>
      <c r="HY16" s="13">
        <f>GJ16-X_Final_2000!AE15</f>
        <v>0</v>
      </c>
      <c r="HZ16" s="13">
        <f>GK16-X_Final_2000!AF15</f>
        <v>0</v>
      </c>
      <c r="IA16" s="13">
        <f>GL16-X_Final_2000!AG15</f>
        <v>0</v>
      </c>
      <c r="IB16" s="13">
        <f>GM16-X_Final_2000!AH15</f>
        <v>0</v>
      </c>
      <c r="IC16" s="13">
        <f>GN16-X_Final_2000!AI15</f>
        <v>0</v>
      </c>
      <c r="ID16" s="13">
        <f>GO16-X_Final_2000!AJ15</f>
        <v>0</v>
      </c>
      <c r="IE16" s="13">
        <f>GP16-X_Final_2000!AK15</f>
        <v>0</v>
      </c>
      <c r="IF16" s="13">
        <f>GQ16-X_Final_2000!AL15</f>
        <v>0</v>
      </c>
      <c r="IG16" s="13">
        <f>GR16-X_Final_2000!AM15</f>
        <v>0</v>
      </c>
    </row>
    <row r="17" spans="1:241" x14ac:dyDescent="0.2">
      <c r="B17" s="4" t="s">
        <v>22</v>
      </c>
      <c r="S17" s="17" t="s">
        <v>23</v>
      </c>
      <c r="T17" s="18"/>
      <c r="U17" s="18"/>
      <c r="V17" s="18"/>
      <c r="W17" s="18"/>
      <c r="X17" s="18"/>
      <c r="Y17" s="18"/>
      <c r="Z17" s="18"/>
      <c r="AA17" s="18"/>
      <c r="AE17" s="17" t="s">
        <v>24</v>
      </c>
      <c r="AF17" s="17"/>
      <c r="AG17" s="17"/>
      <c r="AH17" s="17"/>
      <c r="AI17" s="17"/>
      <c r="AJ17" s="17"/>
      <c r="AK17" s="17"/>
      <c r="AL17" s="17"/>
      <c r="AM17" s="17"/>
      <c r="CA17" s="17" t="s">
        <v>23</v>
      </c>
      <c r="CB17" s="18"/>
      <c r="CC17" s="18"/>
      <c r="CD17" s="18"/>
      <c r="CE17" s="18"/>
      <c r="CF17" s="18"/>
      <c r="CG17" s="18"/>
      <c r="CH17" s="18"/>
      <c r="CI17" s="18"/>
      <c r="CM17" s="17" t="s">
        <v>24</v>
      </c>
      <c r="CN17" s="17"/>
      <c r="CO17" s="17"/>
      <c r="CP17" s="17"/>
      <c r="CQ17" s="17"/>
      <c r="CR17" s="17"/>
      <c r="CS17" s="17"/>
      <c r="CT17" s="17"/>
      <c r="CU17" s="17"/>
      <c r="DP17" s="17" t="s">
        <v>23</v>
      </c>
      <c r="DQ17" s="18"/>
      <c r="DR17" s="18"/>
      <c r="DS17" s="18"/>
      <c r="DT17" s="18"/>
      <c r="DU17" s="18"/>
      <c r="DV17" s="18"/>
      <c r="DW17" s="18"/>
      <c r="DX17" s="18"/>
      <c r="EB17" s="17" t="s">
        <v>24</v>
      </c>
      <c r="EC17" s="18"/>
      <c r="ED17" s="18"/>
      <c r="EE17" s="18"/>
      <c r="EF17" s="18"/>
      <c r="EG17" s="18"/>
      <c r="EH17" s="18"/>
      <c r="EI17" s="18"/>
      <c r="EJ17" s="18"/>
      <c r="FW17" s="1"/>
      <c r="FX17" s="22" t="str">
        <f t="shared" si="25"/>
        <v>U_EIOU</v>
      </c>
      <c r="FY17" s="22"/>
      <c r="FZ17" s="22"/>
      <c r="GA17" s="22"/>
      <c r="GB17" s="22"/>
      <c r="GC17" s="22"/>
      <c r="GD17" s="22"/>
      <c r="GE17" s="22"/>
      <c r="GF17" s="22"/>
      <c r="GJ17" s="22" t="str">
        <f t="shared" si="35"/>
        <v>r_EIOU</v>
      </c>
      <c r="GK17" s="22"/>
      <c r="GL17" s="22"/>
      <c r="GM17" s="22"/>
      <c r="GN17" s="22"/>
      <c r="GO17" s="22"/>
      <c r="GP17" s="22"/>
      <c r="GQ17" s="22"/>
      <c r="GR17" s="22"/>
      <c r="HM17" s="17" t="s">
        <v>63</v>
      </c>
      <c r="HN17" s="17"/>
      <c r="HO17" s="17"/>
      <c r="HP17" s="17"/>
      <c r="HQ17" s="17"/>
      <c r="HR17" s="17"/>
      <c r="HS17" s="17"/>
      <c r="HT17" s="17"/>
      <c r="HU17" s="17"/>
      <c r="HY17" s="17" t="s">
        <v>65</v>
      </c>
      <c r="HZ17" s="17"/>
      <c r="IA17" s="17"/>
      <c r="IB17" s="17"/>
      <c r="IC17" s="17"/>
      <c r="ID17" s="17"/>
      <c r="IE17" s="17"/>
      <c r="IF17" s="17"/>
      <c r="IG17" s="17"/>
    </row>
    <row r="18" spans="1:241" x14ac:dyDescent="0.2">
      <c r="CA18" s="20" t="s">
        <v>42</v>
      </c>
      <c r="CB18" s="20"/>
      <c r="CC18" s="20"/>
      <c r="CD18" s="20"/>
      <c r="CE18" s="20"/>
      <c r="CF18" s="20"/>
      <c r="CG18" s="20"/>
      <c r="CH18" s="20"/>
      <c r="CI18" s="20"/>
      <c r="CM18" s="20" t="s">
        <v>42</v>
      </c>
      <c r="CN18" s="20"/>
      <c r="CO18" s="20"/>
      <c r="CP18" s="20"/>
      <c r="CQ18" s="20"/>
      <c r="CR18" s="20"/>
      <c r="CS18" s="20"/>
      <c r="CT18" s="20"/>
      <c r="CU18" s="20"/>
      <c r="DP18" s="20" t="s">
        <v>49</v>
      </c>
      <c r="DQ18" s="20"/>
      <c r="DR18" s="20"/>
      <c r="DS18" s="20"/>
      <c r="DT18" s="20"/>
      <c r="DU18" s="20"/>
      <c r="DV18" s="20"/>
      <c r="DW18" s="20"/>
      <c r="DX18" s="20"/>
      <c r="EB18" s="20" t="s">
        <v>62</v>
      </c>
      <c r="EC18" s="20"/>
      <c r="ED18" s="20"/>
      <c r="EE18" s="20"/>
      <c r="EF18" s="20"/>
      <c r="EG18" s="20"/>
      <c r="EH18" s="20"/>
      <c r="EI18" s="20"/>
      <c r="EJ18" s="20"/>
      <c r="FW18" s="1"/>
      <c r="FX18" s="20" t="s">
        <v>42</v>
      </c>
      <c r="FY18" s="20"/>
      <c r="FZ18" s="20"/>
      <c r="GA18" s="20"/>
      <c r="GB18" s="20"/>
      <c r="GC18" s="20"/>
      <c r="GD18" s="20"/>
      <c r="GE18" s="20"/>
      <c r="GF18" s="20"/>
      <c r="GJ18" s="20" t="s">
        <v>42</v>
      </c>
      <c r="GK18" s="20"/>
      <c r="GL18" s="20"/>
      <c r="GM18" s="20"/>
      <c r="GN18" s="20"/>
      <c r="GO18" s="20"/>
      <c r="GP18" s="20"/>
      <c r="GQ18" s="20"/>
      <c r="GR18" s="20"/>
    </row>
    <row r="19" spans="1:241" x14ac:dyDescent="0.2">
      <c r="FW19" s="1"/>
    </row>
    <row r="20" spans="1:241" ht="82" x14ac:dyDescent="0.2">
      <c r="S20" s="2" t="s">
        <v>1</v>
      </c>
      <c r="T20" s="2" t="s">
        <v>2</v>
      </c>
      <c r="U20" s="2" t="s">
        <v>3</v>
      </c>
      <c r="V20" s="2" t="s">
        <v>4</v>
      </c>
      <c r="W20" s="2" t="s">
        <v>5</v>
      </c>
      <c r="X20" s="2" t="s">
        <v>6</v>
      </c>
      <c r="Y20" s="2" t="s">
        <v>7</v>
      </c>
      <c r="Z20" s="2" t="s">
        <v>8</v>
      </c>
      <c r="AA20" s="2" t="s">
        <v>9</v>
      </c>
      <c r="CA20" s="2" t="s">
        <v>1</v>
      </c>
      <c r="CB20" s="2" t="s">
        <v>2</v>
      </c>
      <c r="CC20" s="2" t="s">
        <v>3</v>
      </c>
      <c r="CD20" s="2" t="s">
        <v>4</v>
      </c>
      <c r="CE20" s="2" t="s">
        <v>5</v>
      </c>
      <c r="CF20" s="2" t="s">
        <v>6</v>
      </c>
      <c r="CG20" s="2" t="s">
        <v>7</v>
      </c>
      <c r="CH20" s="2" t="s">
        <v>8</v>
      </c>
      <c r="CI20" s="2" t="s">
        <v>9</v>
      </c>
      <c r="DP20" s="2" t="s">
        <v>1</v>
      </c>
      <c r="DQ20" s="2" t="s">
        <v>2</v>
      </c>
      <c r="DR20" s="2" t="s">
        <v>3</v>
      </c>
      <c r="DS20" s="2" t="s">
        <v>4</v>
      </c>
      <c r="DT20" s="2" t="s">
        <v>5</v>
      </c>
      <c r="DU20" s="2" t="s">
        <v>6</v>
      </c>
      <c r="DV20" s="2" t="s">
        <v>7</v>
      </c>
      <c r="DW20" s="2" t="s">
        <v>8</v>
      </c>
      <c r="DX20" s="2" t="s">
        <v>9</v>
      </c>
      <c r="FW20" s="1">
        <f t="shared" si="24"/>
        <v>0</v>
      </c>
      <c r="FX20" t="str">
        <f t="shared" si="25"/>
        <v>Crude dist.</v>
      </c>
      <c r="FY20" t="str">
        <f t="shared" si="26"/>
        <v>Diesel dist.</v>
      </c>
      <c r="FZ20" t="str">
        <f t="shared" si="27"/>
        <v>Elect. grid</v>
      </c>
      <c r="GA20" t="str">
        <f t="shared" si="28"/>
        <v>Gas wells &amp; proc.</v>
      </c>
      <c r="GB20" t="str">
        <f t="shared" si="29"/>
        <v>NG dist.</v>
      </c>
      <c r="GC20" t="str">
        <f t="shared" si="30"/>
        <v>Oil fields</v>
      </c>
      <c r="GD20" t="str">
        <f t="shared" si="31"/>
        <v>Oil refineries</v>
      </c>
      <c r="GE20" t="str">
        <f t="shared" si="32"/>
        <v>Petrol dist.</v>
      </c>
      <c r="GF20" t="str">
        <f t="shared" si="33"/>
        <v>Power plants</v>
      </c>
      <c r="HM20" s="2" t="s">
        <v>1</v>
      </c>
      <c r="HN20" s="2" t="s">
        <v>2</v>
      </c>
      <c r="HO20" s="2" t="s">
        <v>3</v>
      </c>
      <c r="HP20" s="2" t="s">
        <v>4</v>
      </c>
      <c r="HQ20" s="2" t="s">
        <v>5</v>
      </c>
      <c r="HR20" s="2" t="s">
        <v>6</v>
      </c>
      <c r="HS20" s="2" t="s">
        <v>7</v>
      </c>
      <c r="HT20" s="2" t="s">
        <v>8</v>
      </c>
      <c r="HU20" s="2" t="s">
        <v>9</v>
      </c>
    </row>
    <row r="21" spans="1:241" x14ac:dyDescent="0.2">
      <c r="A21" t="s">
        <v>37</v>
      </c>
      <c r="R21" s="1" t="s">
        <v>10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50000</v>
      </c>
      <c r="Y21" s="6">
        <v>0</v>
      </c>
      <c r="Z21" s="6">
        <v>0</v>
      </c>
      <c r="AA21" s="6">
        <v>0</v>
      </c>
      <c r="BZ21" s="1" t="s">
        <v>10</v>
      </c>
      <c r="CA21" s="9">
        <f t="shared" ref="CA21:CA34" si="55">S21</f>
        <v>0</v>
      </c>
      <c r="CB21" s="9">
        <f t="shared" ref="CB21:CB34" si="56">T21</f>
        <v>0</v>
      </c>
      <c r="CC21" s="9">
        <f t="shared" ref="CC21:CC34" si="57">U21</f>
        <v>0</v>
      </c>
      <c r="CD21" s="9">
        <f t="shared" ref="CD21:CD34" si="58">V21</f>
        <v>0</v>
      </c>
      <c r="CE21" s="9">
        <f t="shared" ref="CE21:CE34" si="59">W21</f>
        <v>0</v>
      </c>
      <c r="CF21" s="9">
        <f t="shared" ref="CF21:CF34" si="60">X21</f>
        <v>50000</v>
      </c>
      <c r="CG21" s="9">
        <f t="shared" ref="CG21:CG34" si="61">Y21</f>
        <v>0</v>
      </c>
      <c r="CH21" s="9">
        <f t="shared" ref="CH21:CH34" si="62">Z21</f>
        <v>0</v>
      </c>
      <c r="CI21" s="9">
        <f t="shared" ref="CI21:CI34" si="63">AA21</f>
        <v>0</v>
      </c>
      <c r="DO21" s="1" t="s">
        <v>10</v>
      </c>
      <c r="DP21" s="9">
        <f>DP39-DP3</f>
        <v>0</v>
      </c>
      <c r="DQ21" s="9">
        <f t="shared" ref="DQ21:DX21" si="64">DQ39-DQ3</f>
        <v>0</v>
      </c>
      <c r="DR21" s="9">
        <f t="shared" si="64"/>
        <v>0</v>
      </c>
      <c r="DS21" s="9">
        <f t="shared" si="64"/>
        <v>0</v>
      </c>
      <c r="DT21" s="9">
        <f t="shared" si="64"/>
        <v>0</v>
      </c>
      <c r="DU21" s="9">
        <f t="shared" si="64"/>
        <v>53000</v>
      </c>
      <c r="DV21" s="9">
        <f t="shared" si="64"/>
        <v>0</v>
      </c>
      <c r="DW21" s="9">
        <f t="shared" si="64"/>
        <v>0</v>
      </c>
      <c r="DX21" s="9">
        <f t="shared" si="64"/>
        <v>0</v>
      </c>
      <c r="FW21" s="1" t="str">
        <f t="shared" si="24"/>
        <v>Crude</v>
      </c>
      <c r="FX21" s="9">
        <f t="shared" si="25"/>
        <v>0</v>
      </c>
      <c r="FY21" s="9">
        <f t="shared" si="26"/>
        <v>0</v>
      </c>
      <c r="FZ21" s="9">
        <f t="shared" si="27"/>
        <v>0</v>
      </c>
      <c r="GA21" s="9">
        <f t="shared" si="28"/>
        <v>0</v>
      </c>
      <c r="GB21" s="9">
        <f t="shared" si="29"/>
        <v>0</v>
      </c>
      <c r="GC21" s="9">
        <f t="shared" si="30"/>
        <v>53000</v>
      </c>
      <c r="GD21" s="9">
        <f t="shared" si="31"/>
        <v>0</v>
      </c>
      <c r="GE21" s="9">
        <f t="shared" si="32"/>
        <v>0</v>
      </c>
      <c r="GF21" s="9">
        <f t="shared" si="33"/>
        <v>0</v>
      </c>
      <c r="HL21" s="1" t="s">
        <v>10</v>
      </c>
      <c r="HM21" s="13">
        <f>FX21-X_Final_2000!S20</f>
        <v>0</v>
      </c>
      <c r="HN21" s="13">
        <f>FY21-X_Final_2000!T20</f>
        <v>0</v>
      </c>
      <c r="HO21" s="13">
        <f>FZ21-X_Final_2000!U20</f>
        <v>0</v>
      </c>
      <c r="HP21" s="13">
        <f>GA21-X_Final_2000!V20</f>
        <v>0</v>
      </c>
      <c r="HQ21" s="13">
        <f>GB21-X_Final_2000!W20</f>
        <v>0</v>
      </c>
      <c r="HR21" s="13">
        <f>GC21-X_Final_2000!X20</f>
        <v>0</v>
      </c>
      <c r="HS21" s="13">
        <f>GD21-X_Final_2000!Y20</f>
        <v>0</v>
      </c>
      <c r="HT21" s="13">
        <f>GE21-X_Final_2000!Z20</f>
        <v>0</v>
      </c>
      <c r="HU21" s="13">
        <f>GF21-X_Final_2000!AA20</f>
        <v>0</v>
      </c>
    </row>
    <row r="22" spans="1:241" x14ac:dyDescent="0.2">
      <c r="A22" t="s">
        <v>61</v>
      </c>
      <c r="R22" s="1" t="s">
        <v>11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47000</v>
      </c>
      <c r="Z22" s="6">
        <v>0</v>
      </c>
      <c r="AA22" s="6">
        <v>0</v>
      </c>
      <c r="BZ22" s="1" t="s">
        <v>11</v>
      </c>
      <c r="CA22" s="9">
        <f t="shared" si="55"/>
        <v>0</v>
      </c>
      <c r="CB22" s="9">
        <f t="shared" si="56"/>
        <v>0</v>
      </c>
      <c r="CC22" s="9">
        <f t="shared" si="57"/>
        <v>0</v>
      </c>
      <c r="CD22" s="9">
        <f t="shared" si="58"/>
        <v>0</v>
      </c>
      <c r="CE22" s="9">
        <f t="shared" si="59"/>
        <v>0</v>
      </c>
      <c r="CF22" s="9">
        <f t="shared" si="60"/>
        <v>0</v>
      </c>
      <c r="CG22" s="9">
        <f t="shared" si="61"/>
        <v>47000</v>
      </c>
      <c r="CH22" s="9">
        <f t="shared" si="62"/>
        <v>0</v>
      </c>
      <c r="CI22" s="9">
        <f t="shared" si="63"/>
        <v>0</v>
      </c>
      <c r="DO22" s="1" t="s">
        <v>11</v>
      </c>
      <c r="DP22" s="9">
        <f t="shared" ref="DP22:DX22" si="65">DP40-DP4</f>
        <v>0</v>
      </c>
      <c r="DQ22" s="9">
        <f t="shared" si="65"/>
        <v>0</v>
      </c>
      <c r="DR22" s="9">
        <f t="shared" si="65"/>
        <v>0</v>
      </c>
      <c r="DS22" s="9">
        <f t="shared" si="65"/>
        <v>0</v>
      </c>
      <c r="DT22" s="9">
        <f t="shared" si="65"/>
        <v>0</v>
      </c>
      <c r="DU22" s="9">
        <f t="shared" si="65"/>
        <v>0</v>
      </c>
      <c r="DV22" s="9">
        <f t="shared" si="65"/>
        <v>49820</v>
      </c>
      <c r="DW22" s="9">
        <f t="shared" si="65"/>
        <v>0</v>
      </c>
      <c r="DX22" s="9">
        <f t="shared" si="65"/>
        <v>0</v>
      </c>
      <c r="FW22" s="1" t="str">
        <f t="shared" si="24"/>
        <v>Crude [from Dist.]</v>
      </c>
      <c r="FX22" s="9">
        <f t="shared" si="25"/>
        <v>0</v>
      </c>
      <c r="FY22" s="9">
        <f t="shared" si="26"/>
        <v>0</v>
      </c>
      <c r="FZ22" s="9">
        <f t="shared" si="27"/>
        <v>0</v>
      </c>
      <c r="GA22" s="9">
        <f t="shared" si="28"/>
        <v>0</v>
      </c>
      <c r="GB22" s="9">
        <f t="shared" si="29"/>
        <v>0</v>
      </c>
      <c r="GC22" s="9">
        <f t="shared" si="30"/>
        <v>0</v>
      </c>
      <c r="GD22" s="9">
        <f t="shared" si="31"/>
        <v>49820</v>
      </c>
      <c r="GE22" s="9">
        <f t="shared" si="32"/>
        <v>0</v>
      </c>
      <c r="GF22" s="9">
        <f t="shared" si="33"/>
        <v>0</v>
      </c>
      <c r="HL22" s="1" t="s">
        <v>11</v>
      </c>
      <c r="HM22" s="13">
        <f>FX22-X_Final_2000!S21</f>
        <v>0</v>
      </c>
      <c r="HN22" s="13">
        <f>FY22-X_Final_2000!T21</f>
        <v>0</v>
      </c>
      <c r="HO22" s="13">
        <f>FZ22-X_Final_2000!U21</f>
        <v>0</v>
      </c>
      <c r="HP22" s="13">
        <f>GA22-X_Final_2000!V21</f>
        <v>0</v>
      </c>
      <c r="HQ22" s="13">
        <f>GB22-X_Final_2000!W21</f>
        <v>0</v>
      </c>
      <c r="HR22" s="13">
        <f>GC22-X_Final_2000!X21</f>
        <v>0</v>
      </c>
      <c r="HS22" s="13">
        <f>GD22-X_Final_2000!Y21</f>
        <v>0</v>
      </c>
      <c r="HT22" s="13">
        <f>GE22-X_Final_2000!Z21</f>
        <v>0</v>
      </c>
      <c r="HU22" s="13">
        <f>GF22-X_Final_2000!AA21</f>
        <v>0</v>
      </c>
    </row>
    <row r="23" spans="1:241" x14ac:dyDescent="0.2">
      <c r="R23" s="1" t="s">
        <v>12</v>
      </c>
      <c r="S23" s="6">
        <v>47500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BZ23" s="1" t="s">
        <v>12</v>
      </c>
      <c r="CA23" s="9">
        <f t="shared" si="55"/>
        <v>47500</v>
      </c>
      <c r="CB23" s="9">
        <f t="shared" si="56"/>
        <v>0</v>
      </c>
      <c r="CC23" s="9">
        <f t="shared" si="57"/>
        <v>0</v>
      </c>
      <c r="CD23" s="9">
        <f t="shared" si="58"/>
        <v>0</v>
      </c>
      <c r="CE23" s="9">
        <f t="shared" si="59"/>
        <v>0</v>
      </c>
      <c r="CF23" s="9">
        <f t="shared" si="60"/>
        <v>0</v>
      </c>
      <c r="CG23" s="9">
        <f t="shared" si="61"/>
        <v>0</v>
      </c>
      <c r="CH23" s="9">
        <f t="shared" si="62"/>
        <v>0</v>
      </c>
      <c r="CI23" s="9">
        <f t="shared" si="63"/>
        <v>0</v>
      </c>
      <c r="DO23" s="1" t="s">
        <v>12</v>
      </c>
      <c r="DP23" s="9">
        <f t="shared" ref="DP23:DX23" si="66">DP41-DP5</f>
        <v>50350</v>
      </c>
      <c r="DQ23" s="9">
        <f t="shared" si="66"/>
        <v>0</v>
      </c>
      <c r="DR23" s="9">
        <f t="shared" si="66"/>
        <v>0</v>
      </c>
      <c r="DS23" s="9">
        <f t="shared" si="66"/>
        <v>0</v>
      </c>
      <c r="DT23" s="9">
        <f t="shared" si="66"/>
        <v>0</v>
      </c>
      <c r="DU23" s="9">
        <f t="shared" si="66"/>
        <v>0</v>
      </c>
      <c r="DV23" s="9">
        <f t="shared" si="66"/>
        <v>0</v>
      </c>
      <c r="DW23" s="9">
        <f t="shared" si="66"/>
        <v>0</v>
      </c>
      <c r="DX23" s="9">
        <f t="shared" si="66"/>
        <v>0</v>
      </c>
      <c r="FW23" s="1" t="str">
        <f t="shared" si="24"/>
        <v>Crude [from Fields]</v>
      </c>
      <c r="FX23" s="9">
        <f t="shared" si="25"/>
        <v>50350</v>
      </c>
      <c r="FY23" s="9">
        <f t="shared" si="26"/>
        <v>0</v>
      </c>
      <c r="FZ23" s="9">
        <f t="shared" si="27"/>
        <v>0</v>
      </c>
      <c r="GA23" s="9">
        <f t="shared" si="28"/>
        <v>0</v>
      </c>
      <c r="GB23" s="9">
        <f t="shared" si="29"/>
        <v>0</v>
      </c>
      <c r="GC23" s="9">
        <f t="shared" si="30"/>
        <v>0</v>
      </c>
      <c r="GD23" s="9">
        <f t="shared" si="31"/>
        <v>0</v>
      </c>
      <c r="GE23" s="9">
        <f t="shared" si="32"/>
        <v>0</v>
      </c>
      <c r="GF23" s="9">
        <f t="shared" si="33"/>
        <v>0</v>
      </c>
      <c r="HL23" s="1" t="s">
        <v>12</v>
      </c>
      <c r="HM23" s="13">
        <f>FX23-X_Final_2000!S22</f>
        <v>0</v>
      </c>
      <c r="HN23" s="13">
        <f>FY23-X_Final_2000!T22</f>
        <v>0</v>
      </c>
      <c r="HO23" s="13">
        <f>FZ23-X_Final_2000!U22</f>
        <v>0</v>
      </c>
      <c r="HP23" s="13">
        <f>GA23-X_Final_2000!V22</f>
        <v>0</v>
      </c>
      <c r="HQ23" s="13">
        <f>GB23-X_Final_2000!W22</f>
        <v>0</v>
      </c>
      <c r="HR23" s="13">
        <f>GC23-X_Final_2000!X22</f>
        <v>0</v>
      </c>
      <c r="HS23" s="13">
        <f>GD23-X_Final_2000!Y22</f>
        <v>0</v>
      </c>
      <c r="HT23" s="13">
        <f>GE23-X_Final_2000!Z22</f>
        <v>0</v>
      </c>
      <c r="HU23" s="13">
        <f>GF23-X_Final_2000!AA22</f>
        <v>0</v>
      </c>
    </row>
    <row r="24" spans="1:241" x14ac:dyDescent="0.2">
      <c r="R24" s="1" t="s">
        <v>34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BZ24" s="1" t="s">
        <v>34</v>
      </c>
      <c r="CA24" s="9">
        <f t="shared" si="55"/>
        <v>0</v>
      </c>
      <c r="CB24" s="9">
        <f t="shared" si="56"/>
        <v>0</v>
      </c>
      <c r="CC24" s="9">
        <f t="shared" si="57"/>
        <v>0</v>
      </c>
      <c r="CD24" s="9">
        <f t="shared" si="58"/>
        <v>0</v>
      </c>
      <c r="CE24" s="9">
        <f t="shared" si="59"/>
        <v>0</v>
      </c>
      <c r="CF24" s="9">
        <f t="shared" si="60"/>
        <v>0</v>
      </c>
      <c r="CG24" s="9">
        <f t="shared" si="61"/>
        <v>0</v>
      </c>
      <c r="CH24" s="9">
        <f t="shared" si="62"/>
        <v>0</v>
      </c>
      <c r="CI24" s="9">
        <f t="shared" si="63"/>
        <v>0</v>
      </c>
      <c r="DO24" s="1" t="s">
        <v>34</v>
      </c>
      <c r="DP24" s="9">
        <f t="shared" ref="DP24:DX24" si="67">DP42-DP6</f>
        <v>0</v>
      </c>
      <c r="DQ24" s="9">
        <f t="shared" si="67"/>
        <v>0</v>
      </c>
      <c r="DR24" s="9">
        <f t="shared" si="67"/>
        <v>0</v>
      </c>
      <c r="DS24" s="9">
        <f t="shared" si="67"/>
        <v>0</v>
      </c>
      <c r="DT24" s="9">
        <f t="shared" si="67"/>
        <v>0</v>
      </c>
      <c r="DU24" s="9">
        <f t="shared" si="67"/>
        <v>0</v>
      </c>
      <c r="DV24" s="9">
        <f t="shared" si="67"/>
        <v>0</v>
      </c>
      <c r="DW24" s="9">
        <f t="shared" si="67"/>
        <v>0</v>
      </c>
      <c r="DX24" s="9">
        <f t="shared" si="67"/>
        <v>0</v>
      </c>
      <c r="FW24" s="1" t="str">
        <f t="shared" si="24"/>
        <v>Destroyed exergy</v>
      </c>
      <c r="FX24" s="9">
        <f t="shared" si="25"/>
        <v>0</v>
      </c>
      <c r="FY24" s="9">
        <f t="shared" si="26"/>
        <v>0</v>
      </c>
      <c r="FZ24" s="9">
        <f t="shared" si="27"/>
        <v>0</v>
      </c>
      <c r="GA24" s="9">
        <f t="shared" si="28"/>
        <v>0</v>
      </c>
      <c r="GB24" s="9">
        <f t="shared" si="29"/>
        <v>0</v>
      </c>
      <c r="GC24" s="9">
        <f t="shared" si="30"/>
        <v>0</v>
      </c>
      <c r="GD24" s="9">
        <f t="shared" si="31"/>
        <v>0</v>
      </c>
      <c r="GE24" s="9">
        <f t="shared" si="32"/>
        <v>0</v>
      </c>
      <c r="GF24" s="9">
        <f t="shared" si="33"/>
        <v>0</v>
      </c>
      <c r="HL24" s="1" t="s">
        <v>34</v>
      </c>
      <c r="HM24" s="13">
        <f>FX24-X_Final_2000!S23</f>
        <v>0</v>
      </c>
      <c r="HN24" s="13">
        <f>FY24-X_Final_2000!T23</f>
        <v>0</v>
      </c>
      <c r="HO24" s="13">
        <f>FZ24-X_Final_2000!U23</f>
        <v>0</v>
      </c>
      <c r="HP24" s="13">
        <f>GA24-X_Final_2000!V23</f>
        <v>0</v>
      </c>
      <c r="HQ24" s="13">
        <f>GB24-X_Final_2000!W23</f>
        <v>0</v>
      </c>
      <c r="HR24" s="13">
        <f>GC24-X_Final_2000!X23</f>
        <v>0</v>
      </c>
      <c r="HS24" s="13">
        <f>GD24-X_Final_2000!Y23</f>
        <v>0</v>
      </c>
      <c r="HT24" s="13">
        <f>GE24-X_Final_2000!Z23</f>
        <v>0</v>
      </c>
      <c r="HU24" s="13">
        <f>GF24-X_Final_2000!AA23</f>
        <v>0</v>
      </c>
    </row>
    <row r="25" spans="1:241" x14ac:dyDescent="0.2">
      <c r="R25" s="1" t="s">
        <v>13</v>
      </c>
      <c r="S25" s="6">
        <v>0</v>
      </c>
      <c r="T25" s="6">
        <v>15500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BZ25" s="1" t="s">
        <v>13</v>
      </c>
      <c r="CA25" s="9">
        <f t="shared" si="55"/>
        <v>0</v>
      </c>
      <c r="CB25" s="9">
        <f t="shared" si="56"/>
        <v>15500</v>
      </c>
      <c r="CC25" s="9">
        <f t="shared" si="57"/>
        <v>0</v>
      </c>
      <c r="CD25" s="9">
        <f t="shared" si="58"/>
        <v>0</v>
      </c>
      <c r="CE25" s="9">
        <f t="shared" si="59"/>
        <v>0</v>
      </c>
      <c r="CF25" s="9">
        <f t="shared" si="60"/>
        <v>0</v>
      </c>
      <c r="CG25" s="9">
        <f t="shared" si="61"/>
        <v>0</v>
      </c>
      <c r="CH25" s="9">
        <f t="shared" si="62"/>
        <v>0</v>
      </c>
      <c r="CI25" s="9">
        <f t="shared" si="63"/>
        <v>0</v>
      </c>
      <c r="DO25" s="1" t="s">
        <v>13</v>
      </c>
      <c r="DP25" s="9">
        <f t="shared" ref="DP25:DX25" si="68">DP43-DP7</f>
        <v>0</v>
      </c>
      <c r="DQ25" s="9">
        <f t="shared" si="68"/>
        <v>16430</v>
      </c>
      <c r="DR25" s="9">
        <f t="shared" si="68"/>
        <v>0</v>
      </c>
      <c r="DS25" s="9">
        <f t="shared" si="68"/>
        <v>0</v>
      </c>
      <c r="DT25" s="9">
        <f t="shared" si="68"/>
        <v>0</v>
      </c>
      <c r="DU25" s="9">
        <f t="shared" si="68"/>
        <v>0</v>
      </c>
      <c r="DV25" s="9">
        <f t="shared" si="68"/>
        <v>0</v>
      </c>
      <c r="DW25" s="9">
        <f t="shared" si="68"/>
        <v>0</v>
      </c>
      <c r="DX25" s="9">
        <f t="shared" si="68"/>
        <v>0</v>
      </c>
      <c r="FW25" s="1" t="str">
        <f t="shared" si="24"/>
        <v>Diesel</v>
      </c>
      <c r="FX25" s="9">
        <f t="shared" si="25"/>
        <v>0</v>
      </c>
      <c r="FY25" s="9">
        <f t="shared" si="26"/>
        <v>16430</v>
      </c>
      <c r="FZ25" s="9">
        <f t="shared" si="27"/>
        <v>0</v>
      </c>
      <c r="GA25" s="9">
        <f t="shared" si="28"/>
        <v>0</v>
      </c>
      <c r="GB25" s="9">
        <f t="shared" si="29"/>
        <v>0</v>
      </c>
      <c r="GC25" s="9">
        <f t="shared" si="30"/>
        <v>0</v>
      </c>
      <c r="GD25" s="9">
        <f t="shared" si="31"/>
        <v>0</v>
      </c>
      <c r="GE25" s="9">
        <f t="shared" si="32"/>
        <v>0</v>
      </c>
      <c r="GF25" s="9">
        <f t="shared" si="33"/>
        <v>0</v>
      </c>
      <c r="HL25" s="1" t="s">
        <v>13</v>
      </c>
      <c r="HM25" s="13">
        <f>FX25-X_Final_2000!S24</f>
        <v>0</v>
      </c>
      <c r="HN25" s="13">
        <f>FY25-X_Final_2000!T24</f>
        <v>0</v>
      </c>
      <c r="HO25" s="13">
        <f>FZ25-X_Final_2000!U24</f>
        <v>0</v>
      </c>
      <c r="HP25" s="13">
        <f>GA25-X_Final_2000!V24</f>
        <v>0</v>
      </c>
      <c r="HQ25" s="13">
        <f>GB25-X_Final_2000!W24</f>
        <v>0</v>
      </c>
      <c r="HR25" s="13">
        <f>GC25-X_Final_2000!X24</f>
        <v>0</v>
      </c>
      <c r="HS25" s="13">
        <f>GD25-X_Final_2000!Y24</f>
        <v>0</v>
      </c>
      <c r="HT25" s="13">
        <f>GE25-X_Final_2000!Z24</f>
        <v>0</v>
      </c>
      <c r="HU25" s="13">
        <f>GF25-X_Final_2000!AA24</f>
        <v>0</v>
      </c>
    </row>
    <row r="26" spans="1:241" x14ac:dyDescent="0.2">
      <c r="R26" s="1" t="s">
        <v>14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BZ26" s="1" t="s">
        <v>14</v>
      </c>
      <c r="CA26" s="9">
        <f t="shared" si="55"/>
        <v>0</v>
      </c>
      <c r="CB26" s="9">
        <f t="shared" si="56"/>
        <v>0</v>
      </c>
      <c r="CC26" s="9">
        <f t="shared" si="57"/>
        <v>0</v>
      </c>
      <c r="CD26" s="9">
        <f t="shared" si="58"/>
        <v>0</v>
      </c>
      <c r="CE26" s="9">
        <f t="shared" si="59"/>
        <v>0</v>
      </c>
      <c r="CF26" s="9">
        <f t="shared" si="60"/>
        <v>0</v>
      </c>
      <c r="CG26" s="9">
        <f t="shared" si="61"/>
        <v>0</v>
      </c>
      <c r="CH26" s="9">
        <f t="shared" si="62"/>
        <v>0</v>
      </c>
      <c r="CI26" s="9">
        <f t="shared" si="63"/>
        <v>0</v>
      </c>
      <c r="DO26" s="1" t="s">
        <v>14</v>
      </c>
      <c r="DP26" s="9">
        <f t="shared" ref="DP26:DX26" si="69">DP44-DP8</f>
        <v>0</v>
      </c>
      <c r="DQ26" s="9">
        <f t="shared" si="69"/>
        <v>0</v>
      </c>
      <c r="DR26" s="9">
        <f t="shared" si="69"/>
        <v>0</v>
      </c>
      <c r="DS26" s="9">
        <f t="shared" si="69"/>
        <v>0</v>
      </c>
      <c r="DT26" s="9">
        <f t="shared" si="69"/>
        <v>0</v>
      </c>
      <c r="DU26" s="9">
        <f t="shared" si="69"/>
        <v>0</v>
      </c>
      <c r="DV26" s="9">
        <f t="shared" si="69"/>
        <v>0</v>
      </c>
      <c r="DW26" s="9">
        <f t="shared" si="69"/>
        <v>0</v>
      </c>
      <c r="DX26" s="9">
        <f t="shared" si="69"/>
        <v>0</v>
      </c>
      <c r="FW26" s="1" t="str">
        <f t="shared" si="24"/>
        <v>Diesel [from Dist.]</v>
      </c>
      <c r="FX26" s="9">
        <f t="shared" si="25"/>
        <v>0</v>
      </c>
      <c r="FY26" s="9">
        <f t="shared" si="26"/>
        <v>0</v>
      </c>
      <c r="FZ26" s="9">
        <f t="shared" si="27"/>
        <v>0</v>
      </c>
      <c r="GA26" s="9">
        <f t="shared" si="28"/>
        <v>0</v>
      </c>
      <c r="GB26" s="9">
        <f t="shared" si="29"/>
        <v>0</v>
      </c>
      <c r="GC26" s="9">
        <f t="shared" si="30"/>
        <v>0</v>
      </c>
      <c r="GD26" s="9">
        <f t="shared" si="31"/>
        <v>0</v>
      </c>
      <c r="GE26" s="9">
        <f t="shared" si="32"/>
        <v>0</v>
      </c>
      <c r="GF26" s="9">
        <f t="shared" si="33"/>
        <v>0</v>
      </c>
      <c r="HL26" s="1" t="s">
        <v>14</v>
      </c>
      <c r="HM26" s="13">
        <f>FX26-X_Final_2000!S25</f>
        <v>0</v>
      </c>
      <c r="HN26" s="13">
        <f>FY26-X_Final_2000!T25</f>
        <v>0</v>
      </c>
      <c r="HO26" s="13">
        <f>FZ26-X_Final_2000!U25</f>
        <v>0</v>
      </c>
      <c r="HP26" s="13">
        <f>GA26-X_Final_2000!V25</f>
        <v>0</v>
      </c>
      <c r="HQ26" s="13">
        <f>GB26-X_Final_2000!W25</f>
        <v>0</v>
      </c>
      <c r="HR26" s="13">
        <f>GC26-X_Final_2000!X25</f>
        <v>0</v>
      </c>
      <c r="HS26" s="13">
        <f>GD26-X_Final_2000!Y25</f>
        <v>0</v>
      </c>
      <c r="HT26" s="13">
        <f>GE26-X_Final_2000!Z25</f>
        <v>0</v>
      </c>
      <c r="HU26" s="13">
        <f>GF26-X_Final_2000!AA25</f>
        <v>0</v>
      </c>
    </row>
    <row r="27" spans="1:241" x14ac:dyDescent="0.2">
      <c r="R27" s="1" t="s">
        <v>15</v>
      </c>
      <c r="S27" s="6">
        <v>0</v>
      </c>
      <c r="T27" s="6">
        <v>0</v>
      </c>
      <c r="U27" s="6">
        <v>6400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BZ27" s="1" t="s">
        <v>15</v>
      </c>
      <c r="CA27" s="9">
        <f t="shared" si="55"/>
        <v>0</v>
      </c>
      <c r="CB27" s="9">
        <f t="shared" si="56"/>
        <v>0</v>
      </c>
      <c r="CC27" s="9">
        <f t="shared" si="57"/>
        <v>6400</v>
      </c>
      <c r="CD27" s="9">
        <f t="shared" si="58"/>
        <v>0</v>
      </c>
      <c r="CE27" s="9">
        <f t="shared" si="59"/>
        <v>0</v>
      </c>
      <c r="CF27" s="9">
        <f t="shared" si="60"/>
        <v>0</v>
      </c>
      <c r="CG27" s="9">
        <f t="shared" si="61"/>
        <v>0</v>
      </c>
      <c r="CH27" s="9">
        <f t="shared" si="62"/>
        <v>0</v>
      </c>
      <c r="CI27" s="9">
        <f t="shared" si="63"/>
        <v>0</v>
      </c>
      <c r="DO27" s="1" t="s">
        <v>15</v>
      </c>
      <c r="DP27" s="9">
        <f t="shared" ref="DP27:DX27" si="70">DP45-DP9</f>
        <v>0</v>
      </c>
      <c r="DQ27" s="9">
        <f t="shared" si="70"/>
        <v>0</v>
      </c>
      <c r="DR27" s="9">
        <f t="shared" si="70"/>
        <v>6400</v>
      </c>
      <c r="DS27" s="9">
        <f t="shared" si="70"/>
        <v>0</v>
      </c>
      <c r="DT27" s="9">
        <f t="shared" si="70"/>
        <v>0</v>
      </c>
      <c r="DU27" s="9">
        <f t="shared" si="70"/>
        <v>0</v>
      </c>
      <c r="DV27" s="9">
        <f t="shared" si="70"/>
        <v>0</v>
      </c>
      <c r="DW27" s="9">
        <f t="shared" si="70"/>
        <v>0</v>
      </c>
      <c r="DX27" s="9">
        <f t="shared" si="70"/>
        <v>0</v>
      </c>
      <c r="FW27" s="1" t="str">
        <f t="shared" si="24"/>
        <v>Elect</v>
      </c>
      <c r="FX27" s="9">
        <f t="shared" si="25"/>
        <v>0</v>
      </c>
      <c r="FY27" s="9">
        <f t="shared" si="26"/>
        <v>0</v>
      </c>
      <c r="FZ27" s="9">
        <f t="shared" si="27"/>
        <v>6400</v>
      </c>
      <c r="GA27" s="9">
        <f t="shared" si="28"/>
        <v>0</v>
      </c>
      <c r="GB27" s="9">
        <f t="shared" si="29"/>
        <v>0</v>
      </c>
      <c r="GC27" s="9">
        <f t="shared" si="30"/>
        <v>0</v>
      </c>
      <c r="GD27" s="9">
        <f t="shared" si="31"/>
        <v>0</v>
      </c>
      <c r="GE27" s="9">
        <f t="shared" si="32"/>
        <v>0</v>
      </c>
      <c r="GF27" s="9">
        <f t="shared" si="33"/>
        <v>0</v>
      </c>
      <c r="HL27" s="1" t="s">
        <v>15</v>
      </c>
      <c r="HM27" s="13">
        <f>FX27-X_Final_2000!S26</f>
        <v>0</v>
      </c>
      <c r="HN27" s="13">
        <f>FY27-X_Final_2000!T26</f>
        <v>0</v>
      </c>
      <c r="HO27" s="13">
        <f>FZ27-X_Final_2000!U26</f>
        <v>0</v>
      </c>
      <c r="HP27" s="13">
        <f>GA27-X_Final_2000!V26</f>
        <v>0</v>
      </c>
      <c r="HQ27" s="13">
        <f>GB27-X_Final_2000!W26</f>
        <v>0</v>
      </c>
      <c r="HR27" s="13">
        <f>GC27-X_Final_2000!X26</f>
        <v>0</v>
      </c>
      <c r="HS27" s="13">
        <f>GD27-X_Final_2000!Y26</f>
        <v>0</v>
      </c>
      <c r="HT27" s="13">
        <f>GE27-X_Final_2000!Z26</f>
        <v>0</v>
      </c>
      <c r="HU27" s="13">
        <f>GF27-X_Final_2000!AA26</f>
        <v>0</v>
      </c>
    </row>
    <row r="28" spans="1:241" x14ac:dyDescent="0.2">
      <c r="R28" s="1" t="s">
        <v>16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BZ28" s="1" t="s">
        <v>16</v>
      </c>
      <c r="CA28" s="9">
        <f t="shared" si="55"/>
        <v>0</v>
      </c>
      <c r="CB28" s="9">
        <f t="shared" si="56"/>
        <v>0</v>
      </c>
      <c r="CC28" s="9">
        <f t="shared" si="57"/>
        <v>0</v>
      </c>
      <c r="CD28" s="9">
        <f t="shared" si="58"/>
        <v>0</v>
      </c>
      <c r="CE28" s="9">
        <f t="shared" si="59"/>
        <v>0</v>
      </c>
      <c r="CF28" s="9">
        <f t="shared" si="60"/>
        <v>0</v>
      </c>
      <c r="CG28" s="9">
        <f t="shared" si="61"/>
        <v>0</v>
      </c>
      <c r="CH28" s="9">
        <f t="shared" si="62"/>
        <v>0</v>
      </c>
      <c r="CI28" s="9">
        <f t="shared" si="63"/>
        <v>0</v>
      </c>
      <c r="DO28" s="1" t="s">
        <v>16</v>
      </c>
      <c r="DP28" s="9">
        <f t="shared" ref="DP28:DX28" si="71">DP46-DP10</f>
        <v>0</v>
      </c>
      <c r="DQ28" s="9">
        <f t="shared" si="71"/>
        <v>0</v>
      </c>
      <c r="DR28" s="9">
        <f t="shared" si="71"/>
        <v>0</v>
      </c>
      <c r="DS28" s="9">
        <f t="shared" si="71"/>
        <v>0</v>
      </c>
      <c r="DT28" s="9">
        <f t="shared" si="71"/>
        <v>0</v>
      </c>
      <c r="DU28" s="9">
        <f t="shared" si="71"/>
        <v>0</v>
      </c>
      <c r="DV28" s="9">
        <f t="shared" si="71"/>
        <v>0</v>
      </c>
      <c r="DW28" s="9">
        <f t="shared" si="71"/>
        <v>0</v>
      </c>
      <c r="DX28" s="9">
        <f t="shared" si="71"/>
        <v>0</v>
      </c>
      <c r="FW28" s="1" t="str">
        <f t="shared" si="24"/>
        <v>Elect [from Grid]</v>
      </c>
      <c r="FX28" s="9">
        <f t="shared" si="25"/>
        <v>0</v>
      </c>
      <c r="FY28" s="9">
        <f t="shared" si="26"/>
        <v>0</v>
      </c>
      <c r="FZ28" s="9">
        <f t="shared" si="27"/>
        <v>0</v>
      </c>
      <c r="GA28" s="9">
        <f t="shared" si="28"/>
        <v>0</v>
      </c>
      <c r="GB28" s="9">
        <f t="shared" si="29"/>
        <v>0</v>
      </c>
      <c r="GC28" s="9">
        <f t="shared" si="30"/>
        <v>0</v>
      </c>
      <c r="GD28" s="9">
        <f t="shared" si="31"/>
        <v>0</v>
      </c>
      <c r="GE28" s="9">
        <f t="shared" si="32"/>
        <v>0</v>
      </c>
      <c r="GF28" s="9">
        <f t="shared" si="33"/>
        <v>0</v>
      </c>
      <c r="HL28" s="1" t="s">
        <v>16</v>
      </c>
      <c r="HM28" s="13">
        <f>FX28-X_Final_2000!S27</f>
        <v>0</v>
      </c>
      <c r="HN28" s="13">
        <f>FY28-X_Final_2000!T27</f>
        <v>0</v>
      </c>
      <c r="HO28" s="13">
        <f>FZ28-X_Final_2000!U27</f>
        <v>0</v>
      </c>
      <c r="HP28" s="13">
        <f>GA28-X_Final_2000!V27</f>
        <v>0</v>
      </c>
      <c r="HQ28" s="13">
        <f>GB28-X_Final_2000!W27</f>
        <v>0</v>
      </c>
      <c r="HR28" s="13">
        <f>GC28-X_Final_2000!X27</f>
        <v>0</v>
      </c>
      <c r="HS28" s="13">
        <f>GD28-X_Final_2000!Y27</f>
        <v>0</v>
      </c>
      <c r="HT28" s="13">
        <f>GE28-X_Final_2000!Z27</f>
        <v>0</v>
      </c>
      <c r="HU28" s="13">
        <f>GF28-X_Final_2000!AA27</f>
        <v>0</v>
      </c>
    </row>
    <row r="29" spans="1:241" x14ac:dyDescent="0.2">
      <c r="R29" s="1" t="s">
        <v>35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BZ29" s="1" t="s">
        <v>35</v>
      </c>
      <c r="CA29" s="9">
        <f t="shared" si="55"/>
        <v>0</v>
      </c>
      <c r="CB29" s="9">
        <f t="shared" si="56"/>
        <v>0</v>
      </c>
      <c r="CC29" s="9">
        <f t="shared" si="57"/>
        <v>0</v>
      </c>
      <c r="CD29" s="9">
        <f t="shared" si="58"/>
        <v>0</v>
      </c>
      <c r="CE29" s="9">
        <f t="shared" si="59"/>
        <v>0</v>
      </c>
      <c r="CF29" s="9">
        <f t="shared" si="60"/>
        <v>0</v>
      </c>
      <c r="CG29" s="9">
        <f t="shared" si="61"/>
        <v>0</v>
      </c>
      <c r="CH29" s="9">
        <f t="shared" si="62"/>
        <v>0</v>
      </c>
      <c r="CI29" s="9">
        <f t="shared" si="63"/>
        <v>0</v>
      </c>
      <c r="DO29" s="1" t="s">
        <v>35</v>
      </c>
      <c r="DP29" s="9">
        <f t="shared" ref="DP29:DX29" si="72">DP47-DP11</f>
        <v>0</v>
      </c>
      <c r="DQ29" s="9">
        <f t="shared" si="72"/>
        <v>0</v>
      </c>
      <c r="DR29" s="9">
        <f t="shared" si="72"/>
        <v>0</v>
      </c>
      <c r="DS29" s="9">
        <f t="shared" si="72"/>
        <v>0</v>
      </c>
      <c r="DT29" s="9">
        <f t="shared" si="72"/>
        <v>0</v>
      </c>
      <c r="DU29" s="9">
        <f t="shared" si="72"/>
        <v>0</v>
      </c>
      <c r="DV29" s="9">
        <f t="shared" si="72"/>
        <v>0</v>
      </c>
      <c r="DW29" s="9">
        <f t="shared" si="72"/>
        <v>0</v>
      </c>
      <c r="DX29" s="9">
        <f t="shared" si="72"/>
        <v>0</v>
      </c>
      <c r="FW29" s="1" t="str">
        <f t="shared" si="24"/>
        <v>MTH.200.C -&gt; Transformation losses</v>
      </c>
      <c r="FX29" s="9">
        <f t="shared" si="25"/>
        <v>0</v>
      </c>
      <c r="FY29" s="9">
        <f t="shared" si="26"/>
        <v>0</v>
      </c>
      <c r="FZ29" s="9">
        <f t="shared" si="27"/>
        <v>0</v>
      </c>
      <c r="GA29" s="9">
        <f t="shared" si="28"/>
        <v>0</v>
      </c>
      <c r="GB29" s="9">
        <f t="shared" si="29"/>
        <v>0</v>
      </c>
      <c r="GC29" s="9">
        <f t="shared" si="30"/>
        <v>0</v>
      </c>
      <c r="GD29" s="9">
        <f t="shared" si="31"/>
        <v>0</v>
      </c>
      <c r="GE29" s="9">
        <f t="shared" si="32"/>
        <v>0</v>
      </c>
      <c r="GF29" s="9">
        <f t="shared" si="33"/>
        <v>0</v>
      </c>
      <c r="HL29" s="1" t="s">
        <v>35</v>
      </c>
      <c r="HM29" s="13">
        <f>FX29-X_Final_2000!S28</f>
        <v>0</v>
      </c>
      <c r="HN29" s="13">
        <f>FY29-X_Final_2000!T28</f>
        <v>0</v>
      </c>
      <c r="HO29" s="13">
        <f>FZ29-X_Final_2000!U28</f>
        <v>0</v>
      </c>
      <c r="HP29" s="13">
        <f>GA29-X_Final_2000!V28</f>
        <v>0</v>
      </c>
      <c r="HQ29" s="13">
        <f>GB29-X_Final_2000!W28</f>
        <v>0</v>
      </c>
      <c r="HR29" s="13">
        <f>GC29-X_Final_2000!X28</f>
        <v>0</v>
      </c>
      <c r="HS29" s="13">
        <f>GD29-X_Final_2000!Y28</f>
        <v>0</v>
      </c>
      <c r="HT29" s="13">
        <f>GE29-X_Final_2000!Z28</f>
        <v>0</v>
      </c>
      <c r="HU29" s="13">
        <f>GF29-X_Final_2000!AA28</f>
        <v>0</v>
      </c>
    </row>
    <row r="30" spans="1:241" x14ac:dyDescent="0.2">
      <c r="R30" s="1" t="s">
        <v>17</v>
      </c>
      <c r="S30" s="6">
        <v>0</v>
      </c>
      <c r="T30" s="6">
        <v>0</v>
      </c>
      <c r="U30" s="6">
        <v>0</v>
      </c>
      <c r="V30" s="6">
        <v>43000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BZ30" s="1" t="s">
        <v>17</v>
      </c>
      <c r="CA30" s="9">
        <f t="shared" si="55"/>
        <v>0</v>
      </c>
      <c r="CB30" s="9">
        <f t="shared" si="56"/>
        <v>0</v>
      </c>
      <c r="CC30" s="9">
        <f t="shared" si="57"/>
        <v>0</v>
      </c>
      <c r="CD30" s="9">
        <f t="shared" si="58"/>
        <v>43000</v>
      </c>
      <c r="CE30" s="9">
        <f t="shared" si="59"/>
        <v>0</v>
      </c>
      <c r="CF30" s="9">
        <f t="shared" si="60"/>
        <v>0</v>
      </c>
      <c r="CG30" s="9">
        <f t="shared" si="61"/>
        <v>0</v>
      </c>
      <c r="CH30" s="9">
        <f t="shared" si="62"/>
        <v>0</v>
      </c>
      <c r="CI30" s="9">
        <f t="shared" si="63"/>
        <v>0</v>
      </c>
      <c r="DO30" s="1" t="s">
        <v>17</v>
      </c>
      <c r="DP30" s="9">
        <f t="shared" ref="DP30:DX30" si="73">DP48-DP12</f>
        <v>0</v>
      </c>
      <c r="DQ30" s="9">
        <f t="shared" si="73"/>
        <v>0</v>
      </c>
      <c r="DR30" s="9">
        <f t="shared" si="73"/>
        <v>0</v>
      </c>
      <c r="DS30" s="9">
        <f t="shared" si="73"/>
        <v>44720</v>
      </c>
      <c r="DT30" s="9">
        <f t="shared" si="73"/>
        <v>0</v>
      </c>
      <c r="DU30" s="9">
        <f t="shared" si="73"/>
        <v>0</v>
      </c>
      <c r="DV30" s="9">
        <f t="shared" si="73"/>
        <v>0</v>
      </c>
      <c r="DW30" s="9">
        <f t="shared" si="73"/>
        <v>0</v>
      </c>
      <c r="DX30" s="9">
        <f t="shared" si="73"/>
        <v>0</v>
      </c>
      <c r="FW30" s="1" t="str">
        <f t="shared" si="24"/>
        <v>NG</v>
      </c>
      <c r="FX30" s="9">
        <f t="shared" si="25"/>
        <v>0</v>
      </c>
      <c r="FY30" s="9">
        <f t="shared" si="26"/>
        <v>0</v>
      </c>
      <c r="FZ30" s="9">
        <f t="shared" si="27"/>
        <v>0</v>
      </c>
      <c r="GA30" s="9">
        <f t="shared" si="28"/>
        <v>44720</v>
      </c>
      <c r="GB30" s="9">
        <f t="shared" si="29"/>
        <v>0</v>
      </c>
      <c r="GC30" s="9">
        <f t="shared" si="30"/>
        <v>0</v>
      </c>
      <c r="GD30" s="9">
        <f t="shared" si="31"/>
        <v>0</v>
      </c>
      <c r="GE30" s="9">
        <f t="shared" si="32"/>
        <v>0</v>
      </c>
      <c r="GF30" s="9">
        <f t="shared" si="33"/>
        <v>0</v>
      </c>
      <c r="HL30" s="1" t="s">
        <v>17</v>
      </c>
      <c r="HM30" s="13">
        <f>FX30-X_Final_2000!S29</f>
        <v>0</v>
      </c>
      <c r="HN30" s="13">
        <f>FY30-X_Final_2000!T29</f>
        <v>0</v>
      </c>
      <c r="HO30" s="13">
        <f>FZ30-X_Final_2000!U29</f>
        <v>0</v>
      </c>
      <c r="HP30" s="13">
        <f>GA30-X_Final_2000!V29</f>
        <v>0</v>
      </c>
      <c r="HQ30" s="13">
        <f>GB30-X_Final_2000!W29</f>
        <v>0</v>
      </c>
      <c r="HR30" s="13">
        <f>GC30-X_Final_2000!X29</f>
        <v>0</v>
      </c>
      <c r="HS30" s="13">
        <f>GD30-X_Final_2000!Y29</f>
        <v>0</v>
      </c>
      <c r="HT30" s="13">
        <f>GE30-X_Final_2000!Z29</f>
        <v>0</v>
      </c>
      <c r="HU30" s="13">
        <f>GF30-X_Final_2000!AA29</f>
        <v>0</v>
      </c>
    </row>
    <row r="31" spans="1:241" x14ac:dyDescent="0.2">
      <c r="R31" s="1" t="s">
        <v>18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16000</v>
      </c>
      <c r="BZ31" s="1" t="s">
        <v>18</v>
      </c>
      <c r="CA31" s="9">
        <f t="shared" si="55"/>
        <v>0</v>
      </c>
      <c r="CB31" s="9">
        <f t="shared" si="56"/>
        <v>0</v>
      </c>
      <c r="CC31" s="9">
        <f t="shared" si="57"/>
        <v>0</v>
      </c>
      <c r="CD31" s="9">
        <f t="shared" si="58"/>
        <v>0</v>
      </c>
      <c r="CE31" s="9">
        <f t="shared" si="59"/>
        <v>0</v>
      </c>
      <c r="CF31" s="9">
        <f t="shared" si="60"/>
        <v>0</v>
      </c>
      <c r="CG31" s="9">
        <f t="shared" si="61"/>
        <v>0</v>
      </c>
      <c r="CH31" s="9">
        <f t="shared" si="62"/>
        <v>0</v>
      </c>
      <c r="CI31" s="9">
        <f t="shared" si="63"/>
        <v>16000</v>
      </c>
      <c r="DO31" s="1" t="s">
        <v>18</v>
      </c>
      <c r="DP31" s="9">
        <f t="shared" ref="DP31:DX31" si="74">DP49-DP13</f>
        <v>0</v>
      </c>
      <c r="DQ31" s="9">
        <f t="shared" si="74"/>
        <v>0</v>
      </c>
      <c r="DR31" s="9">
        <f t="shared" si="74"/>
        <v>0</v>
      </c>
      <c r="DS31" s="9">
        <f t="shared" si="74"/>
        <v>0</v>
      </c>
      <c r="DT31" s="9">
        <f t="shared" si="74"/>
        <v>0</v>
      </c>
      <c r="DU31" s="9">
        <f t="shared" si="74"/>
        <v>0</v>
      </c>
      <c r="DV31" s="9">
        <f t="shared" si="74"/>
        <v>0</v>
      </c>
      <c r="DW31" s="9">
        <f t="shared" si="74"/>
        <v>0</v>
      </c>
      <c r="DX31" s="9">
        <f t="shared" si="74"/>
        <v>16640</v>
      </c>
      <c r="FW31" s="1" t="str">
        <f t="shared" si="24"/>
        <v>NG [from Dist.]</v>
      </c>
      <c r="FX31" s="9">
        <f t="shared" si="25"/>
        <v>0</v>
      </c>
      <c r="FY31" s="9">
        <f t="shared" si="26"/>
        <v>0</v>
      </c>
      <c r="FZ31" s="9">
        <f t="shared" si="27"/>
        <v>0</v>
      </c>
      <c r="GA31" s="9">
        <f t="shared" si="28"/>
        <v>0</v>
      </c>
      <c r="GB31" s="9">
        <f t="shared" si="29"/>
        <v>0</v>
      </c>
      <c r="GC31" s="9">
        <f t="shared" si="30"/>
        <v>0</v>
      </c>
      <c r="GD31" s="9">
        <f t="shared" si="31"/>
        <v>0</v>
      </c>
      <c r="GE31" s="9">
        <f t="shared" si="32"/>
        <v>0</v>
      </c>
      <c r="GF31" s="9">
        <f t="shared" si="33"/>
        <v>16640</v>
      </c>
      <c r="HL31" s="1" t="s">
        <v>18</v>
      </c>
      <c r="HM31" s="13">
        <f>FX31-X_Final_2000!S30</f>
        <v>0</v>
      </c>
      <c r="HN31" s="13">
        <f>FY31-X_Final_2000!T30</f>
        <v>0</v>
      </c>
      <c r="HO31" s="13">
        <f>FZ31-X_Final_2000!U30</f>
        <v>0</v>
      </c>
      <c r="HP31" s="13">
        <f>GA31-X_Final_2000!V30</f>
        <v>0</v>
      </c>
      <c r="HQ31" s="13">
        <f>GB31-X_Final_2000!W30</f>
        <v>0</v>
      </c>
      <c r="HR31" s="13">
        <f>GC31-X_Final_2000!X30</f>
        <v>0</v>
      </c>
      <c r="HS31" s="13">
        <f>GD31-X_Final_2000!Y30</f>
        <v>0</v>
      </c>
      <c r="HT31" s="13">
        <f>GE31-X_Final_2000!Z30</f>
        <v>0</v>
      </c>
      <c r="HU31" s="13">
        <f>GF31-X_Final_2000!AA30</f>
        <v>0</v>
      </c>
    </row>
    <row r="32" spans="1:241" x14ac:dyDescent="0.2">
      <c r="R32" s="1" t="s">
        <v>19</v>
      </c>
      <c r="S32" s="6">
        <v>0</v>
      </c>
      <c r="T32" s="6">
        <v>0</v>
      </c>
      <c r="U32" s="6">
        <v>0</v>
      </c>
      <c r="V32" s="6">
        <v>0</v>
      </c>
      <c r="W32" s="6">
        <v>41000</v>
      </c>
      <c r="X32" s="6">
        <v>0</v>
      </c>
      <c r="Y32" s="6">
        <v>0</v>
      </c>
      <c r="Z32" s="6">
        <v>0</v>
      </c>
      <c r="AA32" s="6">
        <v>0</v>
      </c>
      <c r="BZ32" s="1" t="s">
        <v>19</v>
      </c>
      <c r="CA32" s="9">
        <f t="shared" si="55"/>
        <v>0</v>
      </c>
      <c r="CB32" s="9">
        <f t="shared" si="56"/>
        <v>0</v>
      </c>
      <c r="CC32" s="9">
        <f t="shared" si="57"/>
        <v>0</v>
      </c>
      <c r="CD32" s="9">
        <f t="shared" si="58"/>
        <v>0</v>
      </c>
      <c r="CE32" s="9">
        <f t="shared" si="59"/>
        <v>41000</v>
      </c>
      <c r="CF32" s="9">
        <f t="shared" si="60"/>
        <v>0</v>
      </c>
      <c r="CG32" s="9">
        <f t="shared" si="61"/>
        <v>0</v>
      </c>
      <c r="CH32" s="9">
        <f t="shared" si="62"/>
        <v>0</v>
      </c>
      <c r="CI32" s="9">
        <f t="shared" si="63"/>
        <v>0</v>
      </c>
      <c r="DO32" s="1" t="s">
        <v>19</v>
      </c>
      <c r="DP32" s="9">
        <f t="shared" ref="DP32:DX32" si="75">DP50-DP14</f>
        <v>0</v>
      </c>
      <c r="DQ32" s="9">
        <f t="shared" si="75"/>
        <v>0</v>
      </c>
      <c r="DR32" s="9">
        <f t="shared" si="75"/>
        <v>0</v>
      </c>
      <c r="DS32" s="9">
        <f t="shared" si="75"/>
        <v>0</v>
      </c>
      <c r="DT32" s="9">
        <f t="shared" si="75"/>
        <v>42640</v>
      </c>
      <c r="DU32" s="9">
        <f t="shared" si="75"/>
        <v>0</v>
      </c>
      <c r="DV32" s="9">
        <f t="shared" si="75"/>
        <v>0</v>
      </c>
      <c r="DW32" s="9">
        <f t="shared" si="75"/>
        <v>0</v>
      </c>
      <c r="DX32" s="9">
        <f t="shared" si="75"/>
        <v>0</v>
      </c>
      <c r="FW32" s="1" t="str">
        <f t="shared" si="24"/>
        <v>NG [from Wells]</v>
      </c>
      <c r="FX32" s="9">
        <f t="shared" si="25"/>
        <v>0</v>
      </c>
      <c r="FY32" s="9">
        <f t="shared" si="26"/>
        <v>0</v>
      </c>
      <c r="FZ32" s="9">
        <f t="shared" si="27"/>
        <v>0</v>
      </c>
      <c r="GA32" s="9">
        <f t="shared" si="28"/>
        <v>0</v>
      </c>
      <c r="GB32" s="9">
        <f t="shared" si="29"/>
        <v>42640</v>
      </c>
      <c r="GC32" s="9">
        <f t="shared" si="30"/>
        <v>0</v>
      </c>
      <c r="GD32" s="9">
        <f t="shared" si="31"/>
        <v>0</v>
      </c>
      <c r="GE32" s="9">
        <f t="shared" si="32"/>
        <v>0</v>
      </c>
      <c r="GF32" s="9">
        <f t="shared" si="33"/>
        <v>0</v>
      </c>
      <c r="HL32" s="1" t="s">
        <v>19</v>
      </c>
      <c r="HM32" s="13">
        <f>FX32-X_Final_2000!S31</f>
        <v>0</v>
      </c>
      <c r="HN32" s="13">
        <f>FY32-X_Final_2000!T31</f>
        <v>0</v>
      </c>
      <c r="HO32" s="13">
        <f>FZ32-X_Final_2000!U31</f>
        <v>0</v>
      </c>
      <c r="HP32" s="13">
        <f>GA32-X_Final_2000!V31</f>
        <v>0</v>
      </c>
      <c r="HQ32" s="13">
        <f>GB32-X_Final_2000!W31</f>
        <v>0</v>
      </c>
      <c r="HR32" s="13">
        <f>GC32-X_Final_2000!X31</f>
        <v>0</v>
      </c>
      <c r="HS32" s="13">
        <f>GD32-X_Final_2000!Y31</f>
        <v>0</v>
      </c>
      <c r="HT32" s="13">
        <f>GE32-X_Final_2000!Z31</f>
        <v>0</v>
      </c>
      <c r="HU32" s="13">
        <f>GF32-X_Final_2000!AA31</f>
        <v>0</v>
      </c>
    </row>
    <row r="33" spans="18:236" x14ac:dyDescent="0.2">
      <c r="R33" s="1" t="s">
        <v>20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26500</v>
      </c>
      <c r="AA33" s="6">
        <v>0</v>
      </c>
      <c r="BZ33" s="1" t="s">
        <v>20</v>
      </c>
      <c r="CA33" s="9">
        <f t="shared" si="55"/>
        <v>0</v>
      </c>
      <c r="CB33" s="9">
        <f t="shared" si="56"/>
        <v>0</v>
      </c>
      <c r="CC33" s="9">
        <f t="shared" si="57"/>
        <v>0</v>
      </c>
      <c r="CD33" s="9">
        <f t="shared" si="58"/>
        <v>0</v>
      </c>
      <c r="CE33" s="9">
        <f t="shared" si="59"/>
        <v>0</v>
      </c>
      <c r="CF33" s="9">
        <f t="shared" si="60"/>
        <v>0</v>
      </c>
      <c r="CG33" s="9">
        <f t="shared" si="61"/>
        <v>0</v>
      </c>
      <c r="CH33" s="9">
        <f t="shared" si="62"/>
        <v>26500</v>
      </c>
      <c r="CI33" s="9">
        <f t="shared" si="63"/>
        <v>0</v>
      </c>
      <c r="DO33" s="1" t="s">
        <v>20</v>
      </c>
      <c r="DP33" s="9">
        <f t="shared" ref="DP33:DX33" si="76">DP51-DP15</f>
        <v>0</v>
      </c>
      <c r="DQ33" s="9">
        <f t="shared" si="76"/>
        <v>0</v>
      </c>
      <c r="DR33" s="9">
        <f t="shared" si="76"/>
        <v>0</v>
      </c>
      <c r="DS33" s="9">
        <f t="shared" si="76"/>
        <v>0</v>
      </c>
      <c r="DT33" s="9">
        <f t="shared" si="76"/>
        <v>0</v>
      </c>
      <c r="DU33" s="9">
        <f t="shared" si="76"/>
        <v>0</v>
      </c>
      <c r="DV33" s="9">
        <f t="shared" si="76"/>
        <v>0</v>
      </c>
      <c r="DW33" s="9">
        <f t="shared" si="76"/>
        <v>28090</v>
      </c>
      <c r="DX33" s="9">
        <f t="shared" si="76"/>
        <v>0</v>
      </c>
      <c r="FW33" s="1" t="str">
        <f t="shared" si="24"/>
        <v>Petrol</v>
      </c>
      <c r="FX33" s="9">
        <f t="shared" si="25"/>
        <v>0</v>
      </c>
      <c r="FY33" s="9">
        <f t="shared" si="26"/>
        <v>0</v>
      </c>
      <c r="FZ33" s="9">
        <f t="shared" si="27"/>
        <v>0</v>
      </c>
      <c r="GA33" s="9">
        <f t="shared" si="28"/>
        <v>0</v>
      </c>
      <c r="GB33" s="9">
        <f t="shared" si="29"/>
        <v>0</v>
      </c>
      <c r="GC33" s="9">
        <f t="shared" si="30"/>
        <v>0</v>
      </c>
      <c r="GD33" s="9">
        <f t="shared" si="31"/>
        <v>0</v>
      </c>
      <c r="GE33" s="9">
        <f t="shared" si="32"/>
        <v>28090</v>
      </c>
      <c r="GF33" s="9">
        <f t="shared" si="33"/>
        <v>0</v>
      </c>
      <c r="HL33" s="1" t="s">
        <v>20</v>
      </c>
      <c r="HM33" s="13">
        <f>FX33-X_Final_2000!S32</f>
        <v>0</v>
      </c>
      <c r="HN33" s="13">
        <f>FY33-X_Final_2000!T32</f>
        <v>0</v>
      </c>
      <c r="HO33" s="13">
        <f>FZ33-X_Final_2000!U32</f>
        <v>0</v>
      </c>
      <c r="HP33" s="13">
        <f>GA33-X_Final_2000!V32</f>
        <v>0</v>
      </c>
      <c r="HQ33" s="13">
        <f>GB33-X_Final_2000!W32</f>
        <v>0</v>
      </c>
      <c r="HR33" s="13">
        <f>GC33-X_Final_2000!X32</f>
        <v>0</v>
      </c>
      <c r="HS33" s="13">
        <f>GD33-X_Final_2000!Y32</f>
        <v>0</v>
      </c>
      <c r="HT33" s="13">
        <f>GE33-X_Final_2000!Z32</f>
        <v>0</v>
      </c>
      <c r="HU33" s="13">
        <f>GF33-X_Final_2000!AA32</f>
        <v>0</v>
      </c>
    </row>
    <row r="34" spans="18:236" x14ac:dyDescent="0.2">
      <c r="R34" s="1" t="s">
        <v>21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BZ34" s="1" t="s">
        <v>21</v>
      </c>
      <c r="CA34" s="9">
        <f t="shared" si="55"/>
        <v>0</v>
      </c>
      <c r="CB34" s="9">
        <f t="shared" si="56"/>
        <v>0</v>
      </c>
      <c r="CC34" s="9">
        <f t="shared" si="57"/>
        <v>0</v>
      </c>
      <c r="CD34" s="9">
        <f t="shared" si="58"/>
        <v>0</v>
      </c>
      <c r="CE34" s="9">
        <f t="shared" si="59"/>
        <v>0</v>
      </c>
      <c r="CF34" s="9">
        <f t="shared" si="60"/>
        <v>0</v>
      </c>
      <c r="CG34" s="9">
        <f t="shared" si="61"/>
        <v>0</v>
      </c>
      <c r="CH34" s="9">
        <f t="shared" si="62"/>
        <v>0</v>
      </c>
      <c r="CI34" s="9">
        <f t="shared" si="63"/>
        <v>0</v>
      </c>
      <c r="DO34" s="1" t="s">
        <v>21</v>
      </c>
      <c r="DP34" s="9">
        <f t="shared" ref="DP34:DX34" si="77">DP52-DP16</f>
        <v>0</v>
      </c>
      <c r="DQ34" s="9">
        <f t="shared" si="77"/>
        <v>0</v>
      </c>
      <c r="DR34" s="9">
        <f t="shared" si="77"/>
        <v>0</v>
      </c>
      <c r="DS34" s="9">
        <f t="shared" si="77"/>
        <v>0</v>
      </c>
      <c r="DT34" s="9">
        <f t="shared" si="77"/>
        <v>0</v>
      </c>
      <c r="DU34" s="9">
        <f t="shared" si="77"/>
        <v>0</v>
      </c>
      <c r="DV34" s="9">
        <f t="shared" si="77"/>
        <v>0</v>
      </c>
      <c r="DW34" s="9">
        <f t="shared" si="77"/>
        <v>0</v>
      </c>
      <c r="DX34" s="9">
        <f t="shared" si="77"/>
        <v>0</v>
      </c>
      <c r="FW34" s="1" t="str">
        <f t="shared" si="24"/>
        <v>Petrol [from Dist.]</v>
      </c>
      <c r="FX34" s="9">
        <f t="shared" si="25"/>
        <v>0</v>
      </c>
      <c r="FY34" s="9">
        <f t="shared" si="26"/>
        <v>0</v>
      </c>
      <c r="FZ34" s="9">
        <f t="shared" si="27"/>
        <v>0</v>
      </c>
      <c r="GA34" s="9">
        <f t="shared" si="28"/>
        <v>0</v>
      </c>
      <c r="GB34" s="9">
        <f t="shared" si="29"/>
        <v>0</v>
      </c>
      <c r="GC34" s="9">
        <f t="shared" si="30"/>
        <v>0</v>
      </c>
      <c r="GD34" s="9">
        <f t="shared" si="31"/>
        <v>0</v>
      </c>
      <c r="GE34" s="9">
        <f t="shared" si="32"/>
        <v>0</v>
      </c>
      <c r="GF34" s="9">
        <f t="shared" si="33"/>
        <v>0</v>
      </c>
      <c r="HL34" s="1" t="s">
        <v>21</v>
      </c>
      <c r="HM34" s="13">
        <f>FX34-X_Final_2000!S33</f>
        <v>0</v>
      </c>
      <c r="HN34" s="13">
        <f>FY34-X_Final_2000!T33</f>
        <v>0</v>
      </c>
      <c r="HO34" s="13">
        <f>FZ34-X_Final_2000!U33</f>
        <v>0</v>
      </c>
      <c r="HP34" s="13">
        <f>GA34-X_Final_2000!V33</f>
        <v>0</v>
      </c>
      <c r="HQ34" s="13">
        <f>GB34-X_Final_2000!W33</f>
        <v>0</v>
      </c>
      <c r="HR34" s="13">
        <f>GC34-X_Final_2000!X33</f>
        <v>0</v>
      </c>
      <c r="HS34" s="13">
        <f>GD34-X_Final_2000!Y33</f>
        <v>0</v>
      </c>
      <c r="HT34" s="13">
        <f>GE34-X_Final_2000!Z33</f>
        <v>0</v>
      </c>
      <c r="HU34" s="13">
        <f>GF34-X_Final_2000!AA33</f>
        <v>0</v>
      </c>
    </row>
    <row r="35" spans="18:236" x14ac:dyDescent="0.2">
      <c r="S35" s="17" t="s">
        <v>25</v>
      </c>
      <c r="T35" s="18"/>
      <c r="U35" s="18"/>
      <c r="V35" s="18"/>
      <c r="W35" s="18"/>
      <c r="X35" s="18"/>
      <c r="Y35" s="18"/>
      <c r="Z35" s="18"/>
      <c r="AA35" s="18"/>
      <c r="CA35" s="17" t="s">
        <v>25</v>
      </c>
      <c r="CB35" s="18"/>
      <c r="CC35" s="18"/>
      <c r="CD35" s="18"/>
      <c r="CE35" s="18"/>
      <c r="CF35" s="18"/>
      <c r="CG35" s="18"/>
      <c r="CH35" s="18"/>
      <c r="CI35" s="18"/>
      <c r="DP35" s="17" t="s">
        <v>25</v>
      </c>
      <c r="DQ35" s="18"/>
      <c r="DR35" s="18"/>
      <c r="DS35" s="18"/>
      <c r="DT35" s="18"/>
      <c r="DU35" s="18"/>
      <c r="DV35" s="18"/>
      <c r="DW35" s="18"/>
      <c r="DX35" s="18"/>
      <c r="FW35" s="1"/>
      <c r="FX35" s="22" t="str">
        <f t="shared" si="25"/>
        <v>U_feed</v>
      </c>
      <c r="FY35" s="22"/>
      <c r="FZ35" s="22"/>
      <c r="GA35" s="22"/>
      <c r="GB35" s="22"/>
      <c r="GC35" s="22"/>
      <c r="GD35" s="22"/>
      <c r="GE35" s="22"/>
      <c r="GF35" s="22"/>
      <c r="HM35" s="17" t="s">
        <v>64</v>
      </c>
      <c r="HN35" s="17"/>
      <c r="HO35" s="17"/>
      <c r="HP35" s="17"/>
      <c r="HQ35" s="17"/>
      <c r="HR35" s="17"/>
      <c r="HS35" s="17"/>
      <c r="HT35" s="17"/>
      <c r="HU35" s="17"/>
    </row>
    <row r="36" spans="18:236" x14ac:dyDescent="0.2">
      <c r="CA36" s="20" t="s">
        <v>42</v>
      </c>
      <c r="CB36" s="20"/>
      <c r="CC36" s="20"/>
      <c r="CD36" s="20"/>
      <c r="CE36" s="20"/>
      <c r="CF36" s="20"/>
      <c r="CG36" s="20"/>
      <c r="CH36" s="20"/>
      <c r="CI36" s="20"/>
      <c r="DP36" s="20" t="s">
        <v>49</v>
      </c>
      <c r="DQ36" s="20"/>
      <c r="DR36" s="20"/>
      <c r="DS36" s="20"/>
      <c r="DT36" s="20"/>
      <c r="DU36" s="20"/>
      <c r="DV36" s="20"/>
      <c r="DW36" s="20"/>
      <c r="DX36" s="20"/>
      <c r="FX36" s="20" t="s">
        <v>42</v>
      </c>
      <c r="FY36" s="20"/>
      <c r="FZ36" s="20"/>
      <c r="GA36" s="20"/>
      <c r="GB36" s="20"/>
      <c r="GC36" s="20"/>
      <c r="GD36" s="20"/>
      <c r="GE36" s="20"/>
      <c r="GF36" s="20"/>
    </row>
    <row r="38" spans="18:236" ht="172" x14ac:dyDescent="0.2">
      <c r="S38" s="2" t="s">
        <v>1</v>
      </c>
      <c r="T38" s="2" t="s">
        <v>2</v>
      </c>
      <c r="U38" s="2" t="s">
        <v>3</v>
      </c>
      <c r="V38" s="2" t="s">
        <v>4</v>
      </c>
      <c r="W38" s="2" t="s">
        <v>5</v>
      </c>
      <c r="X38" s="2" t="s">
        <v>6</v>
      </c>
      <c r="Y38" s="2" t="s">
        <v>7</v>
      </c>
      <c r="Z38" s="2" t="s">
        <v>8</v>
      </c>
      <c r="AA38" s="2" t="s">
        <v>9</v>
      </c>
      <c r="AE38" s="2" t="s">
        <v>27</v>
      </c>
      <c r="AF38" s="2" t="s">
        <v>26</v>
      </c>
      <c r="AJ38" s="2"/>
      <c r="AK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CA38" s="2" t="s">
        <v>1</v>
      </c>
      <c r="CB38" s="2" t="s">
        <v>2</v>
      </c>
      <c r="CC38" s="2" t="s">
        <v>3</v>
      </c>
      <c r="CD38" s="2" t="s">
        <v>4</v>
      </c>
      <c r="CE38" s="2" t="s">
        <v>5</v>
      </c>
      <c r="CF38" s="2" t="s">
        <v>6</v>
      </c>
      <c r="CG38" s="2" t="s">
        <v>7</v>
      </c>
      <c r="CH38" s="2" t="s">
        <v>8</v>
      </c>
      <c r="CI38" s="2" t="s">
        <v>9</v>
      </c>
      <c r="CM38" s="2" t="s">
        <v>27</v>
      </c>
      <c r="CN38" s="2" t="s">
        <v>36</v>
      </c>
      <c r="CO38" s="2" t="s">
        <v>26</v>
      </c>
      <c r="CP38" s="2"/>
      <c r="CQ38" s="2"/>
      <c r="CR38" s="2"/>
      <c r="CS38" s="2"/>
      <c r="CT38" s="2"/>
      <c r="CU38" s="2"/>
      <c r="CY38" s="2" t="s">
        <v>10</v>
      </c>
      <c r="CZ38" s="2" t="s">
        <v>11</v>
      </c>
      <c r="DA38" s="2" t="s">
        <v>12</v>
      </c>
      <c r="DB38" s="2" t="s">
        <v>34</v>
      </c>
      <c r="DC38" s="2" t="s">
        <v>13</v>
      </c>
      <c r="DD38" s="2" t="s">
        <v>14</v>
      </c>
      <c r="DE38" s="2" t="s">
        <v>15</v>
      </c>
      <c r="DF38" s="2" t="s">
        <v>16</v>
      </c>
      <c r="DG38" s="2" t="s">
        <v>35</v>
      </c>
      <c r="DH38" s="2" t="s">
        <v>17</v>
      </c>
      <c r="DI38" s="2" t="s">
        <v>18</v>
      </c>
      <c r="DJ38" s="2" t="s">
        <v>19</v>
      </c>
      <c r="DK38" s="2" t="s">
        <v>20</v>
      </c>
      <c r="DL38" s="2" t="s">
        <v>21</v>
      </c>
      <c r="DP38" s="2" t="s">
        <v>1</v>
      </c>
      <c r="DQ38" s="2" t="s">
        <v>2</v>
      </c>
      <c r="DR38" s="2" t="s">
        <v>3</v>
      </c>
      <c r="DS38" s="2" t="s">
        <v>4</v>
      </c>
      <c r="DT38" s="2" t="s">
        <v>5</v>
      </c>
      <c r="DU38" s="2" t="s">
        <v>6</v>
      </c>
      <c r="DV38" s="2" t="s">
        <v>7</v>
      </c>
      <c r="DW38" s="2" t="s">
        <v>8</v>
      </c>
      <c r="DX38" s="2" t="s">
        <v>9</v>
      </c>
      <c r="EB38" s="2" t="s">
        <v>27</v>
      </c>
      <c r="EC38" s="2" t="s">
        <v>36</v>
      </c>
      <c r="ED38" s="2" t="s">
        <v>26</v>
      </c>
      <c r="EE38" s="2"/>
      <c r="EF38" s="2"/>
      <c r="EG38" s="2"/>
      <c r="EH38" s="2"/>
      <c r="EI38" s="2"/>
      <c r="EJ38" s="2"/>
      <c r="FX38" s="2" t="s">
        <v>1</v>
      </c>
      <c r="FY38" s="2" t="s">
        <v>2</v>
      </c>
      <c r="FZ38" s="2" t="s">
        <v>3</v>
      </c>
      <c r="GA38" s="2" t="s">
        <v>4</v>
      </c>
      <c r="GB38" s="2" t="s">
        <v>5</v>
      </c>
      <c r="GC38" s="2" t="s">
        <v>6</v>
      </c>
      <c r="GD38" s="2" t="s">
        <v>7</v>
      </c>
      <c r="GE38" s="2" t="s">
        <v>8</v>
      </c>
      <c r="GF38" s="2" t="s">
        <v>9</v>
      </c>
      <c r="GJ38" s="2" t="s">
        <v>52</v>
      </c>
      <c r="GK38" s="2" t="s">
        <v>27</v>
      </c>
      <c r="GL38" s="2" t="s">
        <v>36</v>
      </c>
      <c r="GM38" s="2" t="s">
        <v>26</v>
      </c>
      <c r="GN38" s="2"/>
      <c r="GO38" s="2"/>
      <c r="GP38" s="2"/>
      <c r="GQ38" s="2"/>
      <c r="GR38" s="2"/>
      <c r="HM38" s="2" t="s">
        <v>1</v>
      </c>
      <c r="HN38" s="2" t="s">
        <v>2</v>
      </c>
      <c r="HO38" s="2" t="s">
        <v>3</v>
      </c>
      <c r="HP38" s="2" t="s">
        <v>4</v>
      </c>
      <c r="HQ38" s="2" t="s">
        <v>5</v>
      </c>
      <c r="HR38" s="2" t="s">
        <v>6</v>
      </c>
      <c r="HS38" s="2" t="s">
        <v>7</v>
      </c>
      <c r="HT38" s="2" t="s">
        <v>8</v>
      </c>
      <c r="HU38" s="2" t="s">
        <v>9</v>
      </c>
      <c r="HY38" s="2" t="s">
        <v>52</v>
      </c>
      <c r="HZ38" s="2" t="s">
        <v>27</v>
      </c>
      <c r="IA38" s="2" t="s">
        <v>36</v>
      </c>
      <c r="IB38" s="2" t="s">
        <v>26</v>
      </c>
    </row>
    <row r="39" spans="18:236" x14ac:dyDescent="0.2">
      <c r="R39" s="1" t="s">
        <v>10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50000</v>
      </c>
      <c r="Y39" s="5">
        <v>0</v>
      </c>
      <c r="Z39" s="5">
        <v>0</v>
      </c>
      <c r="AA39" s="5">
        <v>0</v>
      </c>
      <c r="AD39" s="1" t="s">
        <v>10</v>
      </c>
      <c r="AE39" s="3">
        <v>0</v>
      </c>
      <c r="AF39" s="3">
        <v>0</v>
      </c>
      <c r="AI39" s="1"/>
      <c r="AJ39" s="8"/>
      <c r="AK39" s="8"/>
      <c r="AP39" s="1"/>
      <c r="BZ39" s="1" t="s">
        <v>10</v>
      </c>
      <c r="CA39" s="9">
        <f t="shared" ref="CA39:CA52" si="78">S39</f>
        <v>0</v>
      </c>
      <c r="CB39" s="9">
        <f t="shared" ref="CB39:CB52" si="79">T39</f>
        <v>0</v>
      </c>
      <c r="CC39" s="9">
        <f t="shared" ref="CC39:CC52" si="80">U39</f>
        <v>0</v>
      </c>
      <c r="CD39" s="9">
        <f t="shared" ref="CD39:CD52" si="81">V39</f>
        <v>0</v>
      </c>
      <c r="CE39" s="9">
        <f t="shared" ref="CE39:CE52" si="82">W39</f>
        <v>0</v>
      </c>
      <c r="CF39" s="9">
        <f t="shared" ref="CF39:CF52" si="83">X39</f>
        <v>50000</v>
      </c>
      <c r="CG39" s="9">
        <f t="shared" ref="CG39:CG52" si="84">Y39</f>
        <v>0</v>
      </c>
      <c r="CH39" s="9">
        <f t="shared" ref="CH39:CH52" si="85">Z39</f>
        <v>0</v>
      </c>
      <c r="CI39" s="9">
        <f t="shared" ref="CI39:CI52" si="86">AA39</f>
        <v>0</v>
      </c>
      <c r="CL39" s="1" t="s">
        <v>10</v>
      </c>
      <c r="CM39" s="9">
        <f>AE39</f>
        <v>0</v>
      </c>
      <c r="CN39" s="9">
        <v>0</v>
      </c>
      <c r="CO39" s="9">
        <f>AF39</f>
        <v>0</v>
      </c>
      <c r="CP39" s="8"/>
      <c r="CQ39" s="8"/>
      <c r="CR39" s="8"/>
      <c r="CS39" s="8"/>
      <c r="CT39" s="8"/>
      <c r="CU39" s="8"/>
      <c r="CX39" s="1" t="s">
        <v>10</v>
      </c>
      <c r="CY39" s="5">
        <v>1.06</v>
      </c>
      <c r="CZ39" s="5">
        <v>0</v>
      </c>
      <c r="DA39" s="5">
        <v>0</v>
      </c>
      <c r="DB39" s="5">
        <v>0</v>
      </c>
      <c r="DC39" s="5">
        <v>0</v>
      </c>
      <c r="DD39" s="5">
        <v>0</v>
      </c>
      <c r="DE39" s="5">
        <v>0</v>
      </c>
      <c r="DF39" s="5">
        <v>0</v>
      </c>
      <c r="DG39" s="5">
        <v>0</v>
      </c>
      <c r="DH39" s="5">
        <v>0</v>
      </c>
      <c r="DI39" s="5">
        <v>0</v>
      </c>
      <c r="DJ39" s="5">
        <v>0</v>
      </c>
      <c r="DK39" s="5">
        <v>0</v>
      </c>
      <c r="DL39" s="5">
        <v>0</v>
      </c>
      <c r="DO39" s="1" t="s">
        <v>10</v>
      </c>
      <c r="DP39" s="9">
        <f t="array" ref="DP39:DX52">MMULT(CY39:DL52, CA39:CI52)</f>
        <v>0</v>
      </c>
      <c r="DQ39" s="9">
        <v>0</v>
      </c>
      <c r="DR39" s="9">
        <v>0</v>
      </c>
      <c r="DS39" s="9">
        <v>0</v>
      </c>
      <c r="DT39" s="9">
        <v>0</v>
      </c>
      <c r="DU39" s="9">
        <v>53000</v>
      </c>
      <c r="DV39" s="9">
        <v>0</v>
      </c>
      <c r="DW39" s="9">
        <v>0</v>
      </c>
      <c r="DX39" s="9">
        <v>0</v>
      </c>
      <c r="EA39" s="1" t="s">
        <v>10</v>
      </c>
      <c r="EB39" s="9">
        <f t="array" ref="EB39:ED52">MMULT(CY39:DL52, CM39:CO52)</f>
        <v>0</v>
      </c>
      <c r="EC39" s="9">
        <v>0</v>
      </c>
      <c r="ED39" s="9">
        <v>0</v>
      </c>
      <c r="EE39" s="8"/>
      <c r="EF39" s="8"/>
      <c r="EG39" s="8"/>
      <c r="EH39" s="8"/>
      <c r="EI39" s="8"/>
      <c r="EJ39" s="8"/>
      <c r="FW39" s="1" t="s">
        <v>10</v>
      </c>
      <c r="FX39" s="9">
        <f t="shared" ref="FX39:FX52" si="87">DP39</f>
        <v>0</v>
      </c>
      <c r="FY39" s="9">
        <f t="shared" ref="FY39:FY52" si="88">DQ39</f>
        <v>0</v>
      </c>
      <c r="FZ39" s="9">
        <f t="shared" ref="FZ39:FZ52" si="89">DR39</f>
        <v>0</v>
      </c>
      <c r="GA39" s="9">
        <f t="shared" ref="GA39:GA52" si="90">DS39</f>
        <v>0</v>
      </c>
      <c r="GB39" s="9">
        <f t="shared" ref="GB39:GB52" si="91">DT39</f>
        <v>0</v>
      </c>
      <c r="GC39" s="9">
        <f t="shared" ref="GC39:GC52" si="92">DU39</f>
        <v>53000</v>
      </c>
      <c r="GD39" s="9">
        <f t="shared" ref="GD39:GD52" si="93">DV39</f>
        <v>0</v>
      </c>
      <c r="GE39" s="9">
        <f t="shared" ref="GE39:GE52" si="94">DW39</f>
        <v>0</v>
      </c>
      <c r="GF39" s="9">
        <f t="shared" ref="GF39:GF52" si="95">DX39</f>
        <v>0</v>
      </c>
      <c r="GI39" s="1" t="s">
        <v>10</v>
      </c>
      <c r="GJ39" s="9">
        <v>0</v>
      </c>
      <c r="GK39" s="9">
        <f t="shared" ref="GK39:GK52" si="96">EB39</f>
        <v>0</v>
      </c>
      <c r="GL39" s="9">
        <f t="shared" ref="GL39:GL52" si="97">EC39</f>
        <v>0</v>
      </c>
      <c r="GM39" s="9">
        <f t="shared" ref="GM39:GM52" si="98">ED39</f>
        <v>0</v>
      </c>
      <c r="GN39" s="8"/>
      <c r="GO39" s="8"/>
      <c r="GP39" s="8"/>
      <c r="GQ39" s="8"/>
      <c r="GR39" s="8"/>
      <c r="HL39" s="1" t="s">
        <v>10</v>
      </c>
      <c r="HM39" s="13">
        <f>FX39-X_Final_2000!S38</f>
        <v>0</v>
      </c>
      <c r="HN39" s="13">
        <f>FY39-X_Final_2000!T38</f>
        <v>0</v>
      </c>
      <c r="HO39" s="13">
        <f>FZ39-X_Final_2000!U38</f>
        <v>0</v>
      </c>
      <c r="HP39" s="13">
        <f>GA39-X_Final_2000!V38</f>
        <v>0</v>
      </c>
      <c r="HQ39" s="13">
        <f>GB39-X_Final_2000!W38</f>
        <v>0</v>
      </c>
      <c r="HR39" s="13">
        <f>GC39-X_Final_2000!X38</f>
        <v>0</v>
      </c>
      <c r="HS39" s="13">
        <f>GD39-X_Final_2000!Y38</f>
        <v>0</v>
      </c>
      <c r="HT39" s="13">
        <f>GE39-X_Final_2000!Z38</f>
        <v>0</v>
      </c>
      <c r="HU39" s="13">
        <f>GF39-X_Final_2000!AA38</f>
        <v>0</v>
      </c>
      <c r="HX39" s="1" t="s">
        <v>10</v>
      </c>
      <c r="HY39" s="13">
        <f>GJ39-X_Final_2000!AE38</f>
        <v>0</v>
      </c>
      <c r="HZ39" s="13">
        <f>GK39-X_Final_2000!AF38</f>
        <v>0</v>
      </c>
      <c r="IA39" s="13">
        <f>GL39-X_Final_2000!AG38</f>
        <v>0</v>
      </c>
      <c r="IB39" s="13">
        <f>GM39-X_Final_2000!AH38</f>
        <v>0</v>
      </c>
    </row>
    <row r="40" spans="18:236" x14ac:dyDescent="0.2">
      <c r="R40" s="1" t="s">
        <v>11</v>
      </c>
      <c r="S40" s="5">
        <v>500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47000</v>
      </c>
      <c r="Z40" s="5">
        <v>0</v>
      </c>
      <c r="AA40" s="5">
        <v>0</v>
      </c>
      <c r="AD40" s="1" t="s">
        <v>11</v>
      </c>
      <c r="AE40" s="3">
        <v>0</v>
      </c>
      <c r="AF40" s="3">
        <v>0</v>
      </c>
      <c r="AI40" s="1"/>
      <c r="AJ40" s="8"/>
      <c r="AK40" s="8"/>
      <c r="AP40" s="1"/>
      <c r="BZ40" s="1" t="s">
        <v>11</v>
      </c>
      <c r="CA40" s="9">
        <f t="shared" si="78"/>
        <v>500</v>
      </c>
      <c r="CB40" s="9">
        <f t="shared" si="79"/>
        <v>0</v>
      </c>
      <c r="CC40" s="9">
        <f t="shared" si="80"/>
        <v>0</v>
      </c>
      <c r="CD40" s="9">
        <f t="shared" si="81"/>
        <v>0</v>
      </c>
      <c r="CE40" s="9">
        <f t="shared" si="82"/>
        <v>0</v>
      </c>
      <c r="CF40" s="9">
        <f t="shared" si="83"/>
        <v>0</v>
      </c>
      <c r="CG40" s="9">
        <f t="shared" si="84"/>
        <v>47000</v>
      </c>
      <c r="CH40" s="9">
        <f t="shared" si="85"/>
        <v>0</v>
      </c>
      <c r="CI40" s="9">
        <f t="shared" si="86"/>
        <v>0</v>
      </c>
      <c r="CL40" s="1" t="s">
        <v>11</v>
      </c>
      <c r="CM40" s="9">
        <f>AE40</f>
        <v>0</v>
      </c>
      <c r="CN40" s="9">
        <v>0</v>
      </c>
      <c r="CO40" s="9">
        <f>AF40</f>
        <v>0</v>
      </c>
      <c r="CP40" s="8"/>
      <c r="CQ40" s="8"/>
      <c r="CR40" s="8"/>
      <c r="CS40" s="8"/>
      <c r="CT40" s="8"/>
      <c r="CU40" s="8"/>
      <c r="CX40" s="1" t="s">
        <v>11</v>
      </c>
      <c r="CY40" s="5">
        <v>0</v>
      </c>
      <c r="CZ40" s="5">
        <v>1.06</v>
      </c>
      <c r="DA40" s="5">
        <v>0</v>
      </c>
      <c r="DB40" s="5">
        <v>0</v>
      </c>
      <c r="DC40" s="5">
        <v>0</v>
      </c>
      <c r="DD40" s="5">
        <v>0</v>
      </c>
      <c r="DE40" s="5">
        <v>0</v>
      </c>
      <c r="DF40" s="5">
        <v>0</v>
      </c>
      <c r="DG40" s="5">
        <v>0</v>
      </c>
      <c r="DH40" s="5">
        <v>0</v>
      </c>
      <c r="DI40" s="5">
        <v>0</v>
      </c>
      <c r="DJ40" s="5">
        <v>0</v>
      </c>
      <c r="DK40" s="5">
        <v>0</v>
      </c>
      <c r="DL40" s="5">
        <v>0</v>
      </c>
      <c r="DO40" s="1" t="s">
        <v>11</v>
      </c>
      <c r="DP40" s="9">
        <v>530</v>
      </c>
      <c r="DQ40" s="9">
        <v>0</v>
      </c>
      <c r="DR40" s="9">
        <v>0</v>
      </c>
      <c r="DS40" s="9">
        <v>0</v>
      </c>
      <c r="DT40" s="9">
        <v>0</v>
      </c>
      <c r="DU40" s="9">
        <v>0</v>
      </c>
      <c r="DV40" s="9">
        <v>49820</v>
      </c>
      <c r="DW40" s="9">
        <v>0</v>
      </c>
      <c r="DX40" s="9">
        <v>0</v>
      </c>
      <c r="EA40" s="1" t="s">
        <v>11</v>
      </c>
      <c r="EB40" s="9">
        <v>0</v>
      </c>
      <c r="EC40" s="9">
        <v>0</v>
      </c>
      <c r="ED40" s="9">
        <v>0</v>
      </c>
      <c r="EE40" s="8"/>
      <c r="EF40" s="8"/>
      <c r="EG40" s="8"/>
      <c r="EH40" s="8"/>
      <c r="EI40" s="8"/>
      <c r="EJ40" s="8"/>
      <c r="FW40" s="1" t="s">
        <v>11</v>
      </c>
      <c r="FX40" s="9">
        <f t="shared" si="87"/>
        <v>530</v>
      </c>
      <c r="FY40" s="9">
        <f t="shared" si="88"/>
        <v>0</v>
      </c>
      <c r="FZ40" s="9">
        <f t="shared" si="89"/>
        <v>0</v>
      </c>
      <c r="GA40" s="9">
        <f t="shared" si="90"/>
        <v>0</v>
      </c>
      <c r="GB40" s="9">
        <f t="shared" si="91"/>
        <v>0</v>
      </c>
      <c r="GC40" s="9">
        <f t="shared" si="92"/>
        <v>0</v>
      </c>
      <c r="GD40" s="9">
        <f t="shared" si="93"/>
        <v>49820</v>
      </c>
      <c r="GE40" s="9">
        <f t="shared" si="94"/>
        <v>0</v>
      </c>
      <c r="GF40" s="9">
        <f t="shared" si="95"/>
        <v>0</v>
      </c>
      <c r="GI40" s="1" t="s">
        <v>11</v>
      </c>
      <c r="GJ40" s="9">
        <v>0</v>
      </c>
      <c r="GK40" s="9">
        <f t="shared" si="96"/>
        <v>0</v>
      </c>
      <c r="GL40" s="9">
        <f t="shared" si="97"/>
        <v>0</v>
      </c>
      <c r="GM40" s="9">
        <f t="shared" si="98"/>
        <v>0</v>
      </c>
      <c r="GN40" s="8"/>
      <c r="GO40" s="8"/>
      <c r="GP40" s="8"/>
      <c r="GQ40" s="8"/>
      <c r="GR40" s="8"/>
      <c r="HL40" s="1" t="s">
        <v>11</v>
      </c>
      <c r="HM40" s="13">
        <f>FX40-X_Final_2000!S39</f>
        <v>0</v>
      </c>
      <c r="HN40" s="13">
        <f>FY40-X_Final_2000!T39</f>
        <v>0</v>
      </c>
      <c r="HO40" s="13">
        <f>FZ40-X_Final_2000!U39</f>
        <v>0</v>
      </c>
      <c r="HP40" s="13">
        <f>GA40-X_Final_2000!V39</f>
        <v>0</v>
      </c>
      <c r="HQ40" s="13">
        <f>GB40-X_Final_2000!W39</f>
        <v>0</v>
      </c>
      <c r="HR40" s="13">
        <f>GC40-X_Final_2000!X39</f>
        <v>0</v>
      </c>
      <c r="HS40" s="13">
        <f>GD40-X_Final_2000!Y39</f>
        <v>0</v>
      </c>
      <c r="HT40" s="13">
        <f>GE40-X_Final_2000!Z39</f>
        <v>0</v>
      </c>
      <c r="HU40" s="13">
        <f>GF40-X_Final_2000!AA39</f>
        <v>0</v>
      </c>
      <c r="HX40" s="1" t="s">
        <v>11</v>
      </c>
      <c r="HY40" s="13">
        <f>GJ40-X_Final_2000!AE39</f>
        <v>0</v>
      </c>
      <c r="HZ40" s="13">
        <f>GK40-X_Final_2000!AF39</f>
        <v>0</v>
      </c>
      <c r="IA40" s="13">
        <f>GL40-X_Final_2000!AG39</f>
        <v>0</v>
      </c>
      <c r="IB40" s="13">
        <f>GM40-X_Final_2000!AH39</f>
        <v>0</v>
      </c>
    </row>
    <row r="41" spans="18:236" x14ac:dyDescent="0.2">
      <c r="R41" s="1" t="s">
        <v>12</v>
      </c>
      <c r="S41" s="5">
        <v>47500</v>
      </c>
      <c r="T41" s="5">
        <v>0</v>
      </c>
      <c r="U41" s="5">
        <v>0</v>
      </c>
      <c r="V41" s="5">
        <v>0</v>
      </c>
      <c r="W41" s="5">
        <v>0</v>
      </c>
      <c r="X41" s="5">
        <v>2500</v>
      </c>
      <c r="Y41" s="5">
        <v>0</v>
      </c>
      <c r="Z41" s="5">
        <v>0</v>
      </c>
      <c r="AA41" s="5">
        <v>0</v>
      </c>
      <c r="AD41" s="1" t="s">
        <v>12</v>
      </c>
      <c r="AE41" s="3">
        <v>0</v>
      </c>
      <c r="AF41" s="3">
        <v>0</v>
      </c>
      <c r="AI41" s="1"/>
      <c r="AJ41" s="8"/>
      <c r="AK41" s="8"/>
      <c r="AP41" s="1"/>
      <c r="BZ41" s="1" t="s">
        <v>12</v>
      </c>
      <c r="CA41" s="9">
        <f t="shared" si="78"/>
        <v>47500</v>
      </c>
      <c r="CB41" s="9">
        <f t="shared" si="79"/>
        <v>0</v>
      </c>
      <c r="CC41" s="9">
        <f t="shared" si="80"/>
        <v>0</v>
      </c>
      <c r="CD41" s="9">
        <f t="shared" si="81"/>
        <v>0</v>
      </c>
      <c r="CE41" s="9">
        <f t="shared" si="82"/>
        <v>0</v>
      </c>
      <c r="CF41" s="9">
        <f t="shared" si="83"/>
        <v>2500</v>
      </c>
      <c r="CG41" s="9">
        <f t="shared" si="84"/>
        <v>0</v>
      </c>
      <c r="CH41" s="9">
        <f t="shared" si="85"/>
        <v>0</v>
      </c>
      <c r="CI41" s="9">
        <f t="shared" si="86"/>
        <v>0</v>
      </c>
      <c r="CL41" s="1" t="s">
        <v>12</v>
      </c>
      <c r="CM41" s="9">
        <f>AE41</f>
        <v>0</v>
      </c>
      <c r="CN41" s="9">
        <v>0</v>
      </c>
      <c r="CO41" s="9">
        <f>AF41</f>
        <v>0</v>
      </c>
      <c r="CP41" s="8"/>
      <c r="CQ41" s="8"/>
      <c r="CR41" s="8"/>
      <c r="CS41" s="8"/>
      <c r="CT41" s="8"/>
      <c r="CU41" s="8"/>
      <c r="CX41" s="1" t="s">
        <v>12</v>
      </c>
      <c r="CY41" s="5">
        <v>0</v>
      </c>
      <c r="CZ41" s="5">
        <v>0</v>
      </c>
      <c r="DA41" s="5">
        <v>1.06</v>
      </c>
      <c r="DB41" s="5">
        <v>0</v>
      </c>
      <c r="DC41" s="5">
        <v>0</v>
      </c>
      <c r="DD41" s="5">
        <v>0</v>
      </c>
      <c r="DE41" s="5">
        <v>0</v>
      </c>
      <c r="DF41" s="5">
        <v>0</v>
      </c>
      <c r="DG41" s="5">
        <v>0</v>
      </c>
      <c r="DH41" s="5">
        <v>0</v>
      </c>
      <c r="DI41" s="5">
        <v>0</v>
      </c>
      <c r="DJ41" s="5">
        <v>0</v>
      </c>
      <c r="DK41" s="5">
        <v>0</v>
      </c>
      <c r="DL41" s="5">
        <v>0</v>
      </c>
      <c r="DO41" s="1" t="s">
        <v>12</v>
      </c>
      <c r="DP41" s="9">
        <v>50350</v>
      </c>
      <c r="DQ41" s="9">
        <v>0</v>
      </c>
      <c r="DR41" s="9">
        <v>0</v>
      </c>
      <c r="DS41" s="9">
        <v>0</v>
      </c>
      <c r="DT41" s="9">
        <v>0</v>
      </c>
      <c r="DU41" s="9">
        <v>2650</v>
      </c>
      <c r="DV41" s="9">
        <v>0</v>
      </c>
      <c r="DW41" s="9">
        <v>0</v>
      </c>
      <c r="DX41" s="9">
        <v>0</v>
      </c>
      <c r="EA41" s="1" t="s">
        <v>12</v>
      </c>
      <c r="EB41" s="9">
        <v>0</v>
      </c>
      <c r="EC41" s="9">
        <v>0</v>
      </c>
      <c r="ED41" s="9">
        <v>0</v>
      </c>
      <c r="EE41" s="8"/>
      <c r="EF41" s="8"/>
      <c r="EG41" s="8"/>
      <c r="EH41" s="8"/>
      <c r="EI41" s="8"/>
      <c r="EJ41" s="8"/>
      <c r="FW41" s="1" t="s">
        <v>12</v>
      </c>
      <c r="FX41" s="9">
        <f t="shared" si="87"/>
        <v>50350</v>
      </c>
      <c r="FY41" s="9">
        <f t="shared" si="88"/>
        <v>0</v>
      </c>
      <c r="FZ41" s="9">
        <f t="shared" si="89"/>
        <v>0</v>
      </c>
      <c r="GA41" s="9">
        <f t="shared" si="90"/>
        <v>0</v>
      </c>
      <c r="GB41" s="9">
        <f t="shared" si="91"/>
        <v>0</v>
      </c>
      <c r="GC41" s="9">
        <f t="shared" si="92"/>
        <v>2650</v>
      </c>
      <c r="GD41" s="9">
        <f t="shared" si="93"/>
        <v>0</v>
      </c>
      <c r="GE41" s="9">
        <f t="shared" si="94"/>
        <v>0</v>
      </c>
      <c r="GF41" s="9">
        <f t="shared" si="95"/>
        <v>0</v>
      </c>
      <c r="GI41" s="1" t="s">
        <v>12</v>
      </c>
      <c r="GJ41" s="9">
        <v>0</v>
      </c>
      <c r="GK41" s="9">
        <f t="shared" si="96"/>
        <v>0</v>
      </c>
      <c r="GL41" s="9">
        <f t="shared" si="97"/>
        <v>0</v>
      </c>
      <c r="GM41" s="9">
        <f t="shared" si="98"/>
        <v>0</v>
      </c>
      <c r="GN41" s="8"/>
      <c r="GO41" s="8"/>
      <c r="GP41" s="8"/>
      <c r="GQ41" s="8"/>
      <c r="GR41" s="8"/>
      <c r="HL41" s="1" t="s">
        <v>12</v>
      </c>
      <c r="HM41" s="13">
        <f>FX41-X_Final_2000!S40</f>
        <v>0</v>
      </c>
      <c r="HN41" s="13">
        <f>FY41-X_Final_2000!T40</f>
        <v>0</v>
      </c>
      <c r="HO41" s="13">
        <f>FZ41-X_Final_2000!U40</f>
        <v>0</v>
      </c>
      <c r="HP41" s="13">
        <f>GA41-X_Final_2000!V40</f>
        <v>0</v>
      </c>
      <c r="HQ41" s="13">
        <f>GB41-X_Final_2000!W40</f>
        <v>0</v>
      </c>
      <c r="HR41" s="13">
        <f>GC41-X_Final_2000!X40</f>
        <v>0</v>
      </c>
      <c r="HS41" s="13">
        <f>GD41-X_Final_2000!Y40</f>
        <v>0</v>
      </c>
      <c r="HT41" s="13">
        <f>GE41-X_Final_2000!Z40</f>
        <v>0</v>
      </c>
      <c r="HU41" s="13">
        <f>GF41-X_Final_2000!AA40</f>
        <v>0</v>
      </c>
      <c r="HX41" s="1" t="s">
        <v>12</v>
      </c>
      <c r="HY41" s="13">
        <f>GJ41-X_Final_2000!AE40</f>
        <v>0</v>
      </c>
      <c r="HZ41" s="13">
        <f>GK41-X_Final_2000!AF40</f>
        <v>0</v>
      </c>
      <c r="IA41" s="13">
        <f>GL41-X_Final_2000!AG40</f>
        <v>0</v>
      </c>
      <c r="IB41" s="13">
        <f>GM41-X_Final_2000!AH40</f>
        <v>0</v>
      </c>
    </row>
    <row r="42" spans="18:236" x14ac:dyDescent="0.2">
      <c r="R42" s="1" t="s">
        <v>34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D42" s="1" t="s">
        <v>34</v>
      </c>
      <c r="AE42" s="3">
        <v>0</v>
      </c>
      <c r="AF42" s="3">
        <v>0</v>
      </c>
      <c r="AI42" s="1"/>
      <c r="AJ42" s="8"/>
      <c r="AK42" s="8"/>
      <c r="AP42" s="1"/>
      <c r="BZ42" s="1" t="s">
        <v>34</v>
      </c>
      <c r="CA42" s="9">
        <f t="shared" si="78"/>
        <v>0</v>
      </c>
      <c r="CB42" s="9">
        <f t="shared" si="79"/>
        <v>0</v>
      </c>
      <c r="CC42" s="9">
        <f t="shared" si="80"/>
        <v>0</v>
      </c>
      <c r="CD42" s="9">
        <f t="shared" si="81"/>
        <v>0</v>
      </c>
      <c r="CE42" s="9">
        <f t="shared" si="82"/>
        <v>0</v>
      </c>
      <c r="CF42" s="9">
        <f t="shared" si="83"/>
        <v>0</v>
      </c>
      <c r="CG42" s="9">
        <f t="shared" si="84"/>
        <v>0</v>
      </c>
      <c r="CH42" s="9">
        <f t="shared" si="85"/>
        <v>0</v>
      </c>
      <c r="CI42" s="9">
        <f t="shared" si="86"/>
        <v>0</v>
      </c>
      <c r="CL42" s="1" t="s">
        <v>34</v>
      </c>
      <c r="CM42" s="9">
        <v>0</v>
      </c>
      <c r="CN42" s="9">
        <v>0</v>
      </c>
      <c r="CO42" s="9">
        <v>0</v>
      </c>
      <c r="CP42" s="8"/>
      <c r="CQ42" s="8"/>
      <c r="CR42" s="8"/>
      <c r="CS42" s="8"/>
      <c r="CT42" s="8"/>
      <c r="CU42" s="8"/>
      <c r="CX42" s="1" t="s">
        <v>34</v>
      </c>
      <c r="CY42" s="5">
        <v>0</v>
      </c>
      <c r="CZ42" s="5">
        <v>0</v>
      </c>
      <c r="DA42" s="5">
        <v>0</v>
      </c>
      <c r="DB42" s="5">
        <v>1</v>
      </c>
      <c r="DC42" s="5">
        <v>0</v>
      </c>
      <c r="DD42" s="5">
        <v>0</v>
      </c>
      <c r="DE42" s="5">
        <v>0</v>
      </c>
      <c r="DF42" s="5">
        <v>0</v>
      </c>
      <c r="DG42" s="5">
        <v>0</v>
      </c>
      <c r="DH42" s="5">
        <v>0</v>
      </c>
      <c r="DI42" s="5">
        <v>0</v>
      </c>
      <c r="DJ42" s="5">
        <v>0</v>
      </c>
      <c r="DK42" s="5">
        <v>0</v>
      </c>
      <c r="DL42" s="5">
        <v>0</v>
      </c>
      <c r="DO42" s="1" t="s">
        <v>34</v>
      </c>
      <c r="DP42" s="9">
        <v>0</v>
      </c>
      <c r="DQ42" s="9">
        <v>0</v>
      </c>
      <c r="DR42" s="9">
        <v>0</v>
      </c>
      <c r="DS42" s="9">
        <v>0</v>
      </c>
      <c r="DT42" s="9">
        <v>0</v>
      </c>
      <c r="DU42" s="9">
        <v>0</v>
      </c>
      <c r="DV42" s="9">
        <v>0</v>
      </c>
      <c r="DW42" s="9">
        <v>0</v>
      </c>
      <c r="DX42" s="9">
        <v>0</v>
      </c>
      <c r="EA42" s="1" t="s">
        <v>34</v>
      </c>
      <c r="EB42" s="9">
        <v>0</v>
      </c>
      <c r="EC42" s="9">
        <v>0</v>
      </c>
      <c r="ED42" s="9">
        <v>0</v>
      </c>
      <c r="EE42" s="8"/>
      <c r="EF42" s="8"/>
      <c r="EG42" s="8"/>
      <c r="EH42" s="8"/>
      <c r="EI42" s="8"/>
      <c r="EJ42" s="8"/>
      <c r="FW42" s="1" t="s">
        <v>34</v>
      </c>
      <c r="FX42" s="9">
        <f t="shared" si="87"/>
        <v>0</v>
      </c>
      <c r="FY42" s="9">
        <f t="shared" si="88"/>
        <v>0</v>
      </c>
      <c r="FZ42" s="9">
        <f t="shared" si="89"/>
        <v>0</v>
      </c>
      <c r="GA42" s="9">
        <f t="shared" si="90"/>
        <v>0</v>
      </c>
      <c r="GB42" s="9">
        <f t="shared" si="91"/>
        <v>0</v>
      </c>
      <c r="GC42" s="9">
        <f t="shared" si="92"/>
        <v>0</v>
      </c>
      <c r="GD42" s="9">
        <f t="shared" si="93"/>
        <v>0</v>
      </c>
      <c r="GE42" s="9">
        <f t="shared" si="94"/>
        <v>0</v>
      </c>
      <c r="GF42" s="9">
        <f t="shared" si="95"/>
        <v>0</v>
      </c>
      <c r="GI42" s="1" t="s">
        <v>34</v>
      </c>
      <c r="GJ42" s="15">
        <f>SUM(FC77:FC85)</f>
        <v>14665.4416375</v>
      </c>
      <c r="GK42" s="15">
        <f t="shared" si="96"/>
        <v>0</v>
      </c>
      <c r="GL42" s="15">
        <f t="shared" si="97"/>
        <v>0</v>
      </c>
      <c r="GM42" s="15">
        <f t="shared" si="98"/>
        <v>0</v>
      </c>
      <c r="GN42" s="16"/>
      <c r="GO42" s="16"/>
      <c r="GP42" s="16"/>
      <c r="GQ42" s="16"/>
      <c r="GR42" s="16"/>
      <c r="HL42" s="1" t="s">
        <v>34</v>
      </c>
      <c r="HM42" s="13">
        <f>FX42-X_Final_2000!S41</f>
        <v>0</v>
      </c>
      <c r="HN42" s="13">
        <f>FY42-X_Final_2000!T41</f>
        <v>0</v>
      </c>
      <c r="HO42" s="13">
        <f>FZ42-X_Final_2000!U41</f>
        <v>0</v>
      </c>
      <c r="HP42" s="13">
        <f>GA42-X_Final_2000!V41</f>
        <v>0</v>
      </c>
      <c r="HQ42" s="13">
        <f>GB42-X_Final_2000!W41</f>
        <v>0</v>
      </c>
      <c r="HR42" s="13">
        <f>GC42-X_Final_2000!X41</f>
        <v>0</v>
      </c>
      <c r="HS42" s="13">
        <f>GD42-X_Final_2000!Y41</f>
        <v>0</v>
      </c>
      <c r="HT42" s="13">
        <f>GE42-X_Final_2000!Z41</f>
        <v>0</v>
      </c>
      <c r="HU42" s="13">
        <f>GF42-X_Final_2000!AA41</f>
        <v>0</v>
      </c>
      <c r="HX42" s="1" t="s">
        <v>34</v>
      </c>
      <c r="HY42" s="13">
        <f>GJ42-X_Final_2000!AE41</f>
        <v>0</v>
      </c>
      <c r="HZ42" s="13">
        <f>GK42-X_Final_2000!AF41</f>
        <v>0</v>
      </c>
      <c r="IA42" s="13">
        <f>GL42-X_Final_2000!AG41</f>
        <v>0</v>
      </c>
      <c r="IB42" s="13">
        <f>GM42-X_Final_2000!AH41</f>
        <v>0</v>
      </c>
    </row>
    <row r="43" spans="18:236" x14ac:dyDescent="0.2">
      <c r="R43" s="1" t="s">
        <v>13</v>
      </c>
      <c r="S43" s="5">
        <v>0</v>
      </c>
      <c r="T43" s="5">
        <v>15500</v>
      </c>
      <c r="U43" s="5">
        <v>0</v>
      </c>
      <c r="V43" s="5">
        <v>0</v>
      </c>
      <c r="W43" s="5">
        <v>0</v>
      </c>
      <c r="X43" s="5">
        <v>0</v>
      </c>
      <c r="Y43" s="5">
        <v>5000</v>
      </c>
      <c r="Z43" s="5">
        <v>0</v>
      </c>
      <c r="AA43" s="5">
        <v>0</v>
      </c>
      <c r="AD43" s="1" t="s">
        <v>13</v>
      </c>
      <c r="AE43" s="3">
        <v>0</v>
      </c>
      <c r="AF43" s="3">
        <v>0</v>
      </c>
      <c r="AI43" s="1"/>
      <c r="AJ43" s="8"/>
      <c r="AK43" s="8"/>
      <c r="AP43" s="1"/>
      <c r="BZ43" s="1" t="s">
        <v>13</v>
      </c>
      <c r="CA43" s="9">
        <f t="shared" si="78"/>
        <v>0</v>
      </c>
      <c r="CB43" s="9">
        <f t="shared" si="79"/>
        <v>15500</v>
      </c>
      <c r="CC43" s="9">
        <f t="shared" si="80"/>
        <v>0</v>
      </c>
      <c r="CD43" s="9">
        <f t="shared" si="81"/>
        <v>0</v>
      </c>
      <c r="CE43" s="9">
        <f t="shared" si="82"/>
        <v>0</v>
      </c>
      <c r="CF43" s="9">
        <f t="shared" si="83"/>
        <v>0</v>
      </c>
      <c r="CG43" s="9">
        <f t="shared" si="84"/>
        <v>5000</v>
      </c>
      <c r="CH43" s="9">
        <f t="shared" si="85"/>
        <v>0</v>
      </c>
      <c r="CI43" s="9">
        <f t="shared" si="86"/>
        <v>0</v>
      </c>
      <c r="CL43" s="1" t="s">
        <v>13</v>
      </c>
      <c r="CM43" s="9">
        <f>AE43</f>
        <v>0</v>
      </c>
      <c r="CN43" s="9">
        <v>0</v>
      </c>
      <c r="CO43" s="9">
        <f>AF43</f>
        <v>0</v>
      </c>
      <c r="CP43" s="8"/>
      <c r="CQ43" s="8"/>
      <c r="CR43" s="8"/>
      <c r="CS43" s="8"/>
      <c r="CT43" s="8"/>
      <c r="CU43" s="8"/>
      <c r="CX43" s="1" t="s">
        <v>13</v>
      </c>
      <c r="CY43" s="5">
        <v>0</v>
      </c>
      <c r="CZ43" s="5">
        <v>0</v>
      </c>
      <c r="DA43" s="5">
        <v>0</v>
      </c>
      <c r="DB43" s="5">
        <v>0</v>
      </c>
      <c r="DC43" s="5">
        <v>1.06</v>
      </c>
      <c r="DD43" s="5">
        <v>0</v>
      </c>
      <c r="DE43" s="5">
        <v>0</v>
      </c>
      <c r="DF43" s="5">
        <v>0</v>
      </c>
      <c r="DG43" s="5">
        <v>0</v>
      </c>
      <c r="DH43" s="5">
        <v>0</v>
      </c>
      <c r="DI43" s="5">
        <v>0</v>
      </c>
      <c r="DJ43" s="5">
        <v>0</v>
      </c>
      <c r="DK43" s="5">
        <v>0</v>
      </c>
      <c r="DL43" s="5">
        <v>0</v>
      </c>
      <c r="DO43" s="1" t="s">
        <v>13</v>
      </c>
      <c r="DP43" s="9">
        <v>0</v>
      </c>
      <c r="DQ43" s="9">
        <v>16430</v>
      </c>
      <c r="DR43" s="9">
        <v>0</v>
      </c>
      <c r="DS43" s="9">
        <v>0</v>
      </c>
      <c r="DT43" s="9">
        <v>0</v>
      </c>
      <c r="DU43" s="9">
        <v>0</v>
      </c>
      <c r="DV43" s="9">
        <v>5300</v>
      </c>
      <c r="DW43" s="9">
        <v>0</v>
      </c>
      <c r="DX43" s="9">
        <v>0</v>
      </c>
      <c r="EA43" s="1" t="s">
        <v>13</v>
      </c>
      <c r="EB43" s="9">
        <v>0</v>
      </c>
      <c r="EC43" s="9">
        <v>0</v>
      </c>
      <c r="ED43" s="9">
        <v>0</v>
      </c>
      <c r="EE43" s="8"/>
      <c r="EF43" s="8"/>
      <c r="EG43" s="8"/>
      <c r="EH43" s="8"/>
      <c r="EI43" s="8"/>
      <c r="EJ43" s="8"/>
      <c r="FW43" s="1" t="s">
        <v>13</v>
      </c>
      <c r="FX43" s="9">
        <f t="shared" si="87"/>
        <v>0</v>
      </c>
      <c r="FY43" s="9">
        <f t="shared" si="88"/>
        <v>16430</v>
      </c>
      <c r="FZ43" s="9">
        <f t="shared" si="89"/>
        <v>0</v>
      </c>
      <c r="GA43" s="9">
        <f t="shared" si="90"/>
        <v>0</v>
      </c>
      <c r="GB43" s="9">
        <f t="shared" si="91"/>
        <v>0</v>
      </c>
      <c r="GC43" s="9">
        <f t="shared" si="92"/>
        <v>0</v>
      </c>
      <c r="GD43" s="9">
        <f t="shared" si="93"/>
        <v>5300</v>
      </c>
      <c r="GE43" s="9">
        <f t="shared" si="94"/>
        <v>0</v>
      </c>
      <c r="GF43" s="9">
        <f t="shared" si="95"/>
        <v>0</v>
      </c>
      <c r="GI43" s="1" t="s">
        <v>13</v>
      </c>
      <c r="GJ43" s="9">
        <v>0</v>
      </c>
      <c r="GK43" s="9">
        <f t="shared" si="96"/>
        <v>0</v>
      </c>
      <c r="GL43" s="9">
        <f t="shared" si="97"/>
        <v>0</v>
      </c>
      <c r="GM43" s="9">
        <f t="shared" si="98"/>
        <v>0</v>
      </c>
      <c r="GN43" s="8"/>
      <c r="GO43" s="8"/>
      <c r="GP43" s="8"/>
      <c r="GQ43" s="8"/>
      <c r="GR43" s="8"/>
      <c r="HL43" s="1" t="s">
        <v>13</v>
      </c>
      <c r="HM43" s="13">
        <f>FX43-X_Final_2000!S42</f>
        <v>0</v>
      </c>
      <c r="HN43" s="13">
        <f>FY43-X_Final_2000!T42</f>
        <v>0</v>
      </c>
      <c r="HO43" s="13">
        <f>FZ43-X_Final_2000!U42</f>
        <v>0</v>
      </c>
      <c r="HP43" s="13">
        <f>GA43-X_Final_2000!V42</f>
        <v>0</v>
      </c>
      <c r="HQ43" s="13">
        <f>GB43-X_Final_2000!W42</f>
        <v>0</v>
      </c>
      <c r="HR43" s="13">
        <f>GC43-X_Final_2000!X42</f>
        <v>0</v>
      </c>
      <c r="HS43" s="13">
        <f>GD43-X_Final_2000!Y42</f>
        <v>0</v>
      </c>
      <c r="HT43" s="13">
        <f>GE43-X_Final_2000!Z42</f>
        <v>0</v>
      </c>
      <c r="HU43" s="13">
        <f>GF43-X_Final_2000!AA42</f>
        <v>0</v>
      </c>
      <c r="HX43" s="1" t="s">
        <v>13</v>
      </c>
      <c r="HY43" s="13">
        <f>GJ43-X_Final_2000!AE42</f>
        <v>0</v>
      </c>
      <c r="HZ43" s="13">
        <f>GK43-X_Final_2000!AF42</f>
        <v>0</v>
      </c>
      <c r="IA43" s="13">
        <f>GL43-X_Final_2000!AG42</f>
        <v>0</v>
      </c>
      <c r="IB43" s="13">
        <f>GM43-X_Final_2000!AH42</f>
        <v>0</v>
      </c>
    </row>
    <row r="44" spans="18:236" x14ac:dyDescent="0.2">
      <c r="R44" s="1" t="s">
        <v>14</v>
      </c>
      <c r="S44" s="5">
        <v>25</v>
      </c>
      <c r="T44" s="5">
        <v>350</v>
      </c>
      <c r="U44" s="5">
        <v>0</v>
      </c>
      <c r="V44" s="5">
        <v>50</v>
      </c>
      <c r="W44" s="5">
        <v>25</v>
      </c>
      <c r="X44" s="5">
        <v>50</v>
      </c>
      <c r="Y44" s="5">
        <v>0</v>
      </c>
      <c r="Z44" s="5">
        <v>250</v>
      </c>
      <c r="AA44" s="5">
        <v>0</v>
      </c>
      <c r="AD44" s="1" t="s">
        <v>14</v>
      </c>
      <c r="AE44" s="3">
        <v>0</v>
      </c>
      <c r="AF44" s="3">
        <v>14750</v>
      </c>
      <c r="AI44" s="1"/>
      <c r="AJ44" s="8"/>
      <c r="AK44" s="8"/>
      <c r="AP44" s="1"/>
      <c r="BZ44" s="1" t="s">
        <v>14</v>
      </c>
      <c r="CA44" s="9">
        <f t="shared" si="78"/>
        <v>25</v>
      </c>
      <c r="CB44" s="9">
        <f t="shared" si="79"/>
        <v>350</v>
      </c>
      <c r="CC44" s="9">
        <f t="shared" si="80"/>
        <v>0</v>
      </c>
      <c r="CD44" s="9">
        <f t="shared" si="81"/>
        <v>50</v>
      </c>
      <c r="CE44" s="9">
        <f t="shared" si="82"/>
        <v>25</v>
      </c>
      <c r="CF44" s="9">
        <f t="shared" si="83"/>
        <v>50</v>
      </c>
      <c r="CG44" s="9">
        <f t="shared" si="84"/>
        <v>0</v>
      </c>
      <c r="CH44" s="9">
        <f t="shared" si="85"/>
        <v>250</v>
      </c>
      <c r="CI44" s="9">
        <f t="shared" si="86"/>
        <v>0</v>
      </c>
      <c r="CL44" s="1" t="s">
        <v>14</v>
      </c>
      <c r="CM44" s="9">
        <f>AE44</f>
        <v>0</v>
      </c>
      <c r="CN44" s="9">
        <v>0</v>
      </c>
      <c r="CO44" s="9">
        <f>AF44</f>
        <v>14750</v>
      </c>
      <c r="CP44" s="8"/>
      <c r="CQ44" s="8"/>
      <c r="CR44" s="8"/>
      <c r="CS44" s="8"/>
      <c r="CT44" s="8"/>
      <c r="CU44" s="8"/>
      <c r="CX44" s="1" t="s">
        <v>14</v>
      </c>
      <c r="CY44" s="5">
        <v>0</v>
      </c>
      <c r="CZ44" s="5">
        <v>0</v>
      </c>
      <c r="DA44" s="5">
        <v>0</v>
      </c>
      <c r="DB44" s="5">
        <v>0</v>
      </c>
      <c r="DC44" s="5">
        <v>0</v>
      </c>
      <c r="DD44" s="5">
        <v>1.06</v>
      </c>
      <c r="DE44" s="5">
        <v>0</v>
      </c>
      <c r="DF44" s="5">
        <v>0</v>
      </c>
      <c r="DG44" s="5">
        <v>0</v>
      </c>
      <c r="DH44" s="5">
        <v>0</v>
      </c>
      <c r="DI44" s="5">
        <v>0</v>
      </c>
      <c r="DJ44" s="5">
        <v>0</v>
      </c>
      <c r="DK44" s="5">
        <v>0</v>
      </c>
      <c r="DL44" s="5">
        <v>0</v>
      </c>
      <c r="DO44" s="1" t="s">
        <v>14</v>
      </c>
      <c r="DP44" s="9">
        <v>26.5</v>
      </c>
      <c r="DQ44" s="9">
        <v>371</v>
      </c>
      <c r="DR44" s="9">
        <v>0</v>
      </c>
      <c r="DS44" s="9">
        <v>53</v>
      </c>
      <c r="DT44" s="9">
        <v>26.5</v>
      </c>
      <c r="DU44" s="9">
        <v>53</v>
      </c>
      <c r="DV44" s="9">
        <v>0</v>
      </c>
      <c r="DW44" s="9">
        <v>265</v>
      </c>
      <c r="DX44" s="9">
        <v>0</v>
      </c>
      <c r="EA44" s="1" t="s">
        <v>14</v>
      </c>
      <c r="EB44" s="9">
        <v>0</v>
      </c>
      <c r="EC44" s="9">
        <v>0</v>
      </c>
      <c r="ED44" s="9">
        <v>15635</v>
      </c>
      <c r="EE44" s="8"/>
      <c r="EF44" s="8"/>
      <c r="EG44" s="8"/>
      <c r="EH44" s="8"/>
      <c r="EI44" s="8"/>
      <c r="EJ44" s="8"/>
      <c r="FW44" s="1" t="s">
        <v>14</v>
      </c>
      <c r="FX44" s="9">
        <f t="shared" si="87"/>
        <v>26.5</v>
      </c>
      <c r="FY44" s="9">
        <f t="shared" si="88"/>
        <v>371</v>
      </c>
      <c r="FZ44" s="9">
        <f t="shared" si="89"/>
        <v>0</v>
      </c>
      <c r="GA44" s="9">
        <f t="shared" si="90"/>
        <v>53</v>
      </c>
      <c r="GB44" s="9">
        <f t="shared" si="91"/>
        <v>26.5</v>
      </c>
      <c r="GC44" s="9">
        <f t="shared" si="92"/>
        <v>53</v>
      </c>
      <c r="GD44" s="9">
        <f t="shared" si="93"/>
        <v>0</v>
      </c>
      <c r="GE44" s="9">
        <f t="shared" si="94"/>
        <v>265</v>
      </c>
      <c r="GF44" s="9">
        <f t="shared" si="95"/>
        <v>0</v>
      </c>
      <c r="GI44" s="1" t="s">
        <v>14</v>
      </c>
      <c r="GJ44" s="9">
        <v>0</v>
      </c>
      <c r="GK44" s="9">
        <f t="shared" si="96"/>
        <v>0</v>
      </c>
      <c r="GL44" s="9">
        <f t="shared" si="97"/>
        <v>0</v>
      </c>
      <c r="GM44" s="9">
        <f t="shared" si="98"/>
        <v>15635</v>
      </c>
      <c r="GN44" s="8"/>
      <c r="GO44" s="8"/>
      <c r="GP44" s="8"/>
      <c r="GQ44" s="8"/>
      <c r="GR44" s="8"/>
      <c r="HL44" s="1" t="s">
        <v>14</v>
      </c>
      <c r="HM44" s="13">
        <f>FX44-X_Final_2000!S43</f>
        <v>0</v>
      </c>
      <c r="HN44" s="13">
        <f>FY44-X_Final_2000!T43</f>
        <v>0</v>
      </c>
      <c r="HO44" s="13">
        <f>FZ44-X_Final_2000!U43</f>
        <v>0</v>
      </c>
      <c r="HP44" s="13">
        <f>GA44-X_Final_2000!V43</f>
        <v>0</v>
      </c>
      <c r="HQ44" s="13">
        <f>GB44-X_Final_2000!W43</f>
        <v>0</v>
      </c>
      <c r="HR44" s="13">
        <f>GC44-X_Final_2000!X43</f>
        <v>0</v>
      </c>
      <c r="HS44" s="13">
        <f>GD44-X_Final_2000!Y43</f>
        <v>0</v>
      </c>
      <c r="HT44" s="13">
        <f>GE44-X_Final_2000!Z43</f>
        <v>0</v>
      </c>
      <c r="HU44" s="13">
        <f>GF44-X_Final_2000!AA43</f>
        <v>0</v>
      </c>
      <c r="HX44" s="1" t="s">
        <v>14</v>
      </c>
      <c r="HY44" s="13">
        <f>GJ44-X_Final_2000!AE43</f>
        <v>0</v>
      </c>
      <c r="HZ44" s="13">
        <f>GK44-X_Final_2000!AF43</f>
        <v>0</v>
      </c>
      <c r="IA44" s="13">
        <f>GL44-X_Final_2000!AG43</f>
        <v>0</v>
      </c>
      <c r="IB44" s="13">
        <f>GM44-X_Final_2000!AH43</f>
        <v>0</v>
      </c>
    </row>
    <row r="45" spans="18:236" x14ac:dyDescent="0.2">
      <c r="R45" s="1" t="s">
        <v>15</v>
      </c>
      <c r="S45" s="5">
        <v>0</v>
      </c>
      <c r="T45" s="5">
        <v>0</v>
      </c>
      <c r="U45" s="5">
        <v>6400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D45" s="1" t="s">
        <v>15</v>
      </c>
      <c r="AE45" s="3">
        <v>0</v>
      </c>
      <c r="AF45" s="3">
        <v>0</v>
      </c>
      <c r="AI45" s="1"/>
      <c r="AJ45" s="8"/>
      <c r="AK45" s="8"/>
      <c r="AP45" s="1"/>
      <c r="BZ45" s="1" t="s">
        <v>15</v>
      </c>
      <c r="CA45" s="9">
        <f t="shared" si="78"/>
        <v>0</v>
      </c>
      <c r="CB45" s="9">
        <f t="shared" si="79"/>
        <v>0</v>
      </c>
      <c r="CC45" s="9">
        <f t="shared" si="80"/>
        <v>6400</v>
      </c>
      <c r="CD45" s="9">
        <f t="shared" si="81"/>
        <v>0</v>
      </c>
      <c r="CE45" s="9">
        <f t="shared" si="82"/>
        <v>0</v>
      </c>
      <c r="CF45" s="9">
        <f t="shared" si="83"/>
        <v>0</v>
      </c>
      <c r="CG45" s="9">
        <f t="shared" si="84"/>
        <v>0</v>
      </c>
      <c r="CH45" s="9">
        <f t="shared" si="85"/>
        <v>0</v>
      </c>
      <c r="CI45" s="9">
        <f t="shared" si="86"/>
        <v>0</v>
      </c>
      <c r="CL45" s="1" t="s">
        <v>15</v>
      </c>
      <c r="CM45" s="9">
        <f>AE45</f>
        <v>0</v>
      </c>
      <c r="CN45" s="9">
        <v>0</v>
      </c>
      <c r="CO45" s="9">
        <f>AF45</f>
        <v>0</v>
      </c>
      <c r="CP45" s="8"/>
      <c r="CQ45" s="8"/>
      <c r="CR45" s="8"/>
      <c r="CS45" s="8"/>
      <c r="CT45" s="8"/>
      <c r="CU45" s="8"/>
      <c r="CX45" s="1" t="s">
        <v>15</v>
      </c>
      <c r="CY45" s="5">
        <v>0</v>
      </c>
      <c r="CZ45" s="5">
        <v>0</v>
      </c>
      <c r="DA45" s="5">
        <v>0</v>
      </c>
      <c r="DB45" s="5">
        <v>0</v>
      </c>
      <c r="DC45" s="5">
        <v>0</v>
      </c>
      <c r="DD45" s="5">
        <v>0</v>
      </c>
      <c r="DE45" s="5">
        <v>1</v>
      </c>
      <c r="DF45" s="5">
        <v>0</v>
      </c>
      <c r="DG45" s="5">
        <v>0</v>
      </c>
      <c r="DH45" s="5">
        <v>0</v>
      </c>
      <c r="DI45" s="5">
        <v>0</v>
      </c>
      <c r="DJ45" s="5">
        <v>0</v>
      </c>
      <c r="DK45" s="5">
        <v>0</v>
      </c>
      <c r="DL45" s="5">
        <v>0</v>
      </c>
      <c r="DO45" s="1" t="s">
        <v>15</v>
      </c>
      <c r="DP45" s="9">
        <v>0</v>
      </c>
      <c r="DQ45" s="9">
        <v>0</v>
      </c>
      <c r="DR45" s="9">
        <v>6400</v>
      </c>
      <c r="DS45" s="9">
        <v>0</v>
      </c>
      <c r="DT45" s="9">
        <v>0</v>
      </c>
      <c r="DU45" s="9">
        <v>0</v>
      </c>
      <c r="DV45" s="9">
        <v>0</v>
      </c>
      <c r="DW45" s="9">
        <v>0</v>
      </c>
      <c r="DX45" s="9">
        <v>0</v>
      </c>
      <c r="EA45" s="1" t="s">
        <v>15</v>
      </c>
      <c r="EB45" s="9">
        <v>0</v>
      </c>
      <c r="EC45" s="9">
        <v>0</v>
      </c>
      <c r="ED45" s="9">
        <v>0</v>
      </c>
      <c r="EE45" s="8"/>
      <c r="EF45" s="8"/>
      <c r="EG45" s="8"/>
      <c r="EH45" s="8"/>
      <c r="EI45" s="8"/>
      <c r="EJ45" s="8"/>
      <c r="FW45" s="1" t="s">
        <v>15</v>
      </c>
      <c r="FX45" s="9">
        <f t="shared" si="87"/>
        <v>0</v>
      </c>
      <c r="FY45" s="9">
        <f t="shared" si="88"/>
        <v>0</v>
      </c>
      <c r="FZ45" s="9">
        <f t="shared" si="89"/>
        <v>6400</v>
      </c>
      <c r="GA45" s="9">
        <f t="shared" si="90"/>
        <v>0</v>
      </c>
      <c r="GB45" s="9">
        <f t="shared" si="91"/>
        <v>0</v>
      </c>
      <c r="GC45" s="9">
        <f t="shared" si="92"/>
        <v>0</v>
      </c>
      <c r="GD45" s="9">
        <f t="shared" si="93"/>
        <v>0</v>
      </c>
      <c r="GE45" s="9">
        <f t="shared" si="94"/>
        <v>0</v>
      </c>
      <c r="GF45" s="9">
        <f t="shared" si="95"/>
        <v>0</v>
      </c>
      <c r="GI45" s="1" t="s">
        <v>15</v>
      </c>
      <c r="GJ45" s="9">
        <v>0</v>
      </c>
      <c r="GK45" s="9">
        <f t="shared" si="96"/>
        <v>0</v>
      </c>
      <c r="GL45" s="9">
        <f t="shared" si="97"/>
        <v>0</v>
      </c>
      <c r="GM45" s="9">
        <f t="shared" si="98"/>
        <v>0</v>
      </c>
      <c r="GN45" s="8"/>
      <c r="GO45" s="8"/>
      <c r="GP45" s="8"/>
      <c r="GQ45" s="8"/>
      <c r="GR45" s="8"/>
      <c r="HL45" s="1" t="s">
        <v>15</v>
      </c>
      <c r="HM45" s="13">
        <f>FX45-X_Final_2000!S44</f>
        <v>0</v>
      </c>
      <c r="HN45" s="13">
        <f>FY45-X_Final_2000!T44</f>
        <v>0</v>
      </c>
      <c r="HO45" s="13">
        <f>FZ45-X_Final_2000!U44</f>
        <v>0</v>
      </c>
      <c r="HP45" s="13">
        <f>GA45-X_Final_2000!V44</f>
        <v>0</v>
      </c>
      <c r="HQ45" s="13">
        <f>GB45-X_Final_2000!W44</f>
        <v>0</v>
      </c>
      <c r="HR45" s="13">
        <f>GC45-X_Final_2000!X44</f>
        <v>0</v>
      </c>
      <c r="HS45" s="13">
        <f>GD45-X_Final_2000!Y44</f>
        <v>0</v>
      </c>
      <c r="HT45" s="13">
        <f>GE45-X_Final_2000!Z44</f>
        <v>0</v>
      </c>
      <c r="HU45" s="13">
        <f>GF45-X_Final_2000!AA44</f>
        <v>0</v>
      </c>
      <c r="HX45" s="1" t="s">
        <v>15</v>
      </c>
      <c r="HY45" s="13">
        <f>GJ45-X_Final_2000!AE44</f>
        <v>0</v>
      </c>
      <c r="HZ45" s="13">
        <f>GK45-X_Final_2000!AF44</f>
        <v>0</v>
      </c>
      <c r="IA45" s="13">
        <f>GL45-X_Final_2000!AG44</f>
        <v>0</v>
      </c>
      <c r="IB45" s="13">
        <f>GM45-X_Final_2000!AH44</f>
        <v>0</v>
      </c>
    </row>
    <row r="46" spans="18:236" x14ac:dyDescent="0.2">
      <c r="R46" s="1" t="s">
        <v>16</v>
      </c>
      <c r="S46" s="5">
        <v>25</v>
      </c>
      <c r="T46" s="5">
        <v>0</v>
      </c>
      <c r="U46" s="5">
        <v>0</v>
      </c>
      <c r="V46" s="5">
        <v>25</v>
      </c>
      <c r="W46" s="5">
        <v>25</v>
      </c>
      <c r="X46" s="5">
        <v>25</v>
      </c>
      <c r="Y46" s="5">
        <v>75</v>
      </c>
      <c r="Z46" s="5">
        <v>0</v>
      </c>
      <c r="AA46" s="5">
        <v>100</v>
      </c>
      <c r="AD46" s="1" t="s">
        <v>16</v>
      </c>
      <c r="AE46" s="3">
        <v>6000</v>
      </c>
      <c r="AF46" s="3">
        <v>0</v>
      </c>
      <c r="AI46" s="1"/>
      <c r="AJ46" s="8"/>
      <c r="AK46" s="8"/>
      <c r="AP46" s="1"/>
      <c r="BZ46" s="1" t="s">
        <v>16</v>
      </c>
      <c r="CA46" s="9">
        <f t="shared" si="78"/>
        <v>25</v>
      </c>
      <c r="CB46" s="9">
        <f t="shared" si="79"/>
        <v>0</v>
      </c>
      <c r="CC46" s="9">
        <f t="shared" si="80"/>
        <v>0</v>
      </c>
      <c r="CD46" s="9">
        <f t="shared" si="81"/>
        <v>25</v>
      </c>
      <c r="CE46" s="9">
        <f t="shared" si="82"/>
        <v>25</v>
      </c>
      <c r="CF46" s="9">
        <f t="shared" si="83"/>
        <v>25</v>
      </c>
      <c r="CG46" s="9">
        <f t="shared" si="84"/>
        <v>75</v>
      </c>
      <c r="CH46" s="9">
        <f t="shared" si="85"/>
        <v>0</v>
      </c>
      <c r="CI46" s="9">
        <f t="shared" si="86"/>
        <v>100</v>
      </c>
      <c r="CL46" s="1" t="s">
        <v>16</v>
      </c>
      <c r="CM46" s="9">
        <f>AE46</f>
        <v>6000</v>
      </c>
      <c r="CN46" s="9">
        <v>0</v>
      </c>
      <c r="CO46" s="9">
        <f>AF46</f>
        <v>0</v>
      </c>
      <c r="CP46" s="8"/>
      <c r="CQ46" s="8"/>
      <c r="CR46" s="8"/>
      <c r="CS46" s="8"/>
      <c r="CT46" s="8"/>
      <c r="CU46" s="8"/>
      <c r="CX46" s="1" t="s">
        <v>16</v>
      </c>
      <c r="CY46" s="5">
        <v>0</v>
      </c>
      <c r="CZ46" s="5">
        <v>0</v>
      </c>
      <c r="DA46" s="5">
        <v>0</v>
      </c>
      <c r="DB46" s="5">
        <v>0</v>
      </c>
      <c r="DC46" s="5">
        <v>0</v>
      </c>
      <c r="DD46" s="5">
        <v>0</v>
      </c>
      <c r="DE46" s="5">
        <v>0</v>
      </c>
      <c r="DF46" s="5">
        <v>1</v>
      </c>
      <c r="DG46" s="5">
        <v>0</v>
      </c>
      <c r="DH46" s="5">
        <v>0</v>
      </c>
      <c r="DI46" s="5">
        <v>0</v>
      </c>
      <c r="DJ46" s="5">
        <v>0</v>
      </c>
      <c r="DK46" s="5">
        <v>0</v>
      </c>
      <c r="DL46" s="5">
        <v>0</v>
      </c>
      <c r="DO46" s="1" t="s">
        <v>16</v>
      </c>
      <c r="DP46" s="9">
        <v>25</v>
      </c>
      <c r="DQ46" s="9">
        <v>0</v>
      </c>
      <c r="DR46" s="9">
        <v>0</v>
      </c>
      <c r="DS46" s="9">
        <v>25</v>
      </c>
      <c r="DT46" s="9">
        <v>25</v>
      </c>
      <c r="DU46" s="9">
        <v>25</v>
      </c>
      <c r="DV46" s="9">
        <v>75</v>
      </c>
      <c r="DW46" s="9">
        <v>0</v>
      </c>
      <c r="DX46" s="9">
        <v>100</v>
      </c>
      <c r="EA46" s="1" t="s">
        <v>16</v>
      </c>
      <c r="EB46" s="9">
        <v>6000</v>
      </c>
      <c r="EC46" s="9">
        <v>0</v>
      </c>
      <c r="ED46" s="9">
        <v>0</v>
      </c>
      <c r="EE46" s="8"/>
      <c r="EF46" s="8"/>
      <c r="EG46" s="8"/>
      <c r="EH46" s="8"/>
      <c r="EI46" s="8"/>
      <c r="EJ46" s="8"/>
      <c r="FW46" s="1" t="s">
        <v>16</v>
      </c>
      <c r="FX46" s="9">
        <f t="shared" si="87"/>
        <v>25</v>
      </c>
      <c r="FY46" s="9">
        <f t="shared" si="88"/>
        <v>0</v>
      </c>
      <c r="FZ46" s="9">
        <f t="shared" si="89"/>
        <v>0</v>
      </c>
      <c r="GA46" s="9">
        <f t="shared" si="90"/>
        <v>25</v>
      </c>
      <c r="GB46" s="9">
        <f t="shared" si="91"/>
        <v>25</v>
      </c>
      <c r="GC46" s="9">
        <f t="shared" si="92"/>
        <v>25</v>
      </c>
      <c r="GD46" s="9">
        <f t="shared" si="93"/>
        <v>75</v>
      </c>
      <c r="GE46" s="9">
        <f t="shared" si="94"/>
        <v>0</v>
      </c>
      <c r="GF46" s="9">
        <f t="shared" si="95"/>
        <v>100</v>
      </c>
      <c r="GI46" s="1" t="s">
        <v>16</v>
      </c>
      <c r="GJ46" s="9">
        <v>0</v>
      </c>
      <c r="GK46" s="9">
        <f t="shared" si="96"/>
        <v>6000</v>
      </c>
      <c r="GL46" s="9">
        <f t="shared" si="97"/>
        <v>0</v>
      </c>
      <c r="GM46" s="9">
        <f t="shared" si="98"/>
        <v>0</v>
      </c>
      <c r="GN46" s="8"/>
      <c r="GO46" s="8"/>
      <c r="GP46" s="8"/>
      <c r="GQ46" s="8"/>
      <c r="GR46" s="8"/>
      <c r="HL46" s="1" t="s">
        <v>16</v>
      </c>
      <c r="HM46" s="13">
        <f>FX46-X_Final_2000!S45</f>
        <v>0</v>
      </c>
      <c r="HN46" s="13">
        <f>FY46-X_Final_2000!T45</f>
        <v>0</v>
      </c>
      <c r="HO46" s="13">
        <f>FZ46-X_Final_2000!U45</f>
        <v>0</v>
      </c>
      <c r="HP46" s="13">
        <f>GA46-X_Final_2000!V45</f>
        <v>0</v>
      </c>
      <c r="HQ46" s="13">
        <f>GB46-X_Final_2000!W45</f>
        <v>0</v>
      </c>
      <c r="HR46" s="13">
        <f>GC46-X_Final_2000!X45</f>
        <v>0</v>
      </c>
      <c r="HS46" s="13">
        <f>GD46-X_Final_2000!Y45</f>
        <v>0</v>
      </c>
      <c r="HT46" s="13">
        <f>GE46-X_Final_2000!Z45</f>
        <v>0</v>
      </c>
      <c r="HU46" s="13">
        <f>GF46-X_Final_2000!AA45</f>
        <v>0</v>
      </c>
      <c r="HX46" s="1" t="s">
        <v>16</v>
      </c>
      <c r="HY46" s="13">
        <f>GJ46-X_Final_2000!AE45</f>
        <v>0</v>
      </c>
      <c r="HZ46" s="13">
        <f>GK46-X_Final_2000!AF45</f>
        <v>0</v>
      </c>
      <c r="IA46" s="13">
        <f>GL46-X_Final_2000!AG45</f>
        <v>0</v>
      </c>
      <c r="IB46" s="13">
        <f>GM46-X_Final_2000!AH45</f>
        <v>0</v>
      </c>
    </row>
    <row r="47" spans="18:236" x14ac:dyDescent="0.2">
      <c r="R47" s="1" t="s">
        <v>35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D47" s="1" t="s">
        <v>35</v>
      </c>
      <c r="AE47" s="3">
        <v>0</v>
      </c>
      <c r="AF47" s="3">
        <v>0</v>
      </c>
      <c r="AI47" s="1"/>
      <c r="AJ47" s="8"/>
      <c r="AK47" s="8"/>
      <c r="AP47" s="1"/>
      <c r="BZ47" s="1" t="s">
        <v>35</v>
      </c>
      <c r="CA47" s="9">
        <f t="shared" si="78"/>
        <v>0</v>
      </c>
      <c r="CB47" s="9">
        <f t="shared" si="79"/>
        <v>0</v>
      </c>
      <c r="CC47" s="9">
        <f t="shared" si="80"/>
        <v>0</v>
      </c>
      <c r="CD47" s="9">
        <f t="shared" si="81"/>
        <v>0</v>
      </c>
      <c r="CE47" s="9">
        <f t="shared" si="82"/>
        <v>0</v>
      </c>
      <c r="CF47" s="9">
        <f t="shared" si="83"/>
        <v>0</v>
      </c>
      <c r="CG47" s="9">
        <f t="shared" si="84"/>
        <v>0</v>
      </c>
      <c r="CH47" s="9">
        <f t="shared" si="85"/>
        <v>0</v>
      </c>
      <c r="CI47" s="9">
        <f t="shared" si="86"/>
        <v>0</v>
      </c>
      <c r="CL47" s="1" t="s">
        <v>35</v>
      </c>
      <c r="CM47" s="15">
        <v>0</v>
      </c>
      <c r="CN47" s="15">
        <f>SUM(BR57:BR65)</f>
        <v>21250</v>
      </c>
      <c r="CO47" s="15">
        <v>0</v>
      </c>
      <c r="CP47" s="16"/>
      <c r="CQ47" s="16"/>
      <c r="CR47" s="16"/>
      <c r="CS47" s="16"/>
      <c r="CT47" s="16"/>
      <c r="CU47" s="16"/>
      <c r="CX47" s="1" t="s">
        <v>35</v>
      </c>
      <c r="CY47" s="5">
        <v>0</v>
      </c>
      <c r="CZ47" s="5">
        <v>0</v>
      </c>
      <c r="DA47" s="5">
        <v>0</v>
      </c>
      <c r="DB47" s="5">
        <v>0</v>
      </c>
      <c r="DC47" s="5">
        <v>0</v>
      </c>
      <c r="DD47" s="5">
        <v>0</v>
      </c>
      <c r="DE47" s="5">
        <v>0</v>
      </c>
      <c r="DF47" s="5">
        <v>0</v>
      </c>
      <c r="DG47" s="5">
        <v>0.36986156999999997</v>
      </c>
      <c r="DH47" s="5">
        <v>0</v>
      </c>
      <c r="DI47" s="5">
        <v>0</v>
      </c>
      <c r="DJ47" s="5">
        <v>0</v>
      </c>
      <c r="DK47" s="5">
        <v>0</v>
      </c>
      <c r="DL47" s="5">
        <v>0</v>
      </c>
      <c r="DO47" s="1" t="s">
        <v>35</v>
      </c>
      <c r="DP47" s="9">
        <v>0</v>
      </c>
      <c r="DQ47" s="9">
        <v>0</v>
      </c>
      <c r="DR47" s="9">
        <v>0</v>
      </c>
      <c r="DS47" s="9">
        <v>0</v>
      </c>
      <c r="DT47" s="9">
        <v>0</v>
      </c>
      <c r="DU47" s="9">
        <v>0</v>
      </c>
      <c r="DV47" s="9">
        <v>0</v>
      </c>
      <c r="DW47" s="9">
        <v>0</v>
      </c>
      <c r="DX47" s="9">
        <v>0</v>
      </c>
      <c r="EA47" s="1" t="s">
        <v>35</v>
      </c>
      <c r="EB47" s="9">
        <v>0</v>
      </c>
      <c r="EC47" s="9">
        <v>7859.558362499999</v>
      </c>
      <c r="ED47" s="9">
        <v>0</v>
      </c>
      <c r="EE47" s="8"/>
      <c r="EF47" s="8"/>
      <c r="EG47" s="8"/>
      <c r="EH47" s="8"/>
      <c r="EI47" s="8"/>
      <c r="EJ47" s="8"/>
      <c r="FW47" s="1" t="s">
        <v>35</v>
      </c>
      <c r="FX47" s="9">
        <f t="shared" si="87"/>
        <v>0</v>
      </c>
      <c r="FY47" s="9">
        <f t="shared" si="88"/>
        <v>0</v>
      </c>
      <c r="FZ47" s="9">
        <f t="shared" si="89"/>
        <v>0</v>
      </c>
      <c r="GA47" s="9">
        <f t="shared" si="90"/>
        <v>0</v>
      </c>
      <c r="GB47" s="9">
        <f t="shared" si="91"/>
        <v>0</v>
      </c>
      <c r="GC47" s="9">
        <f t="shared" si="92"/>
        <v>0</v>
      </c>
      <c r="GD47" s="9">
        <f t="shared" si="93"/>
        <v>0</v>
      </c>
      <c r="GE47" s="9">
        <f t="shared" si="94"/>
        <v>0</v>
      </c>
      <c r="GF47" s="9">
        <f t="shared" si="95"/>
        <v>0</v>
      </c>
      <c r="GI47" s="1" t="s">
        <v>35</v>
      </c>
      <c r="GJ47" s="9">
        <v>0</v>
      </c>
      <c r="GK47" s="9">
        <f t="shared" si="96"/>
        <v>0</v>
      </c>
      <c r="GL47" s="9">
        <f t="shared" si="97"/>
        <v>7859.558362499999</v>
      </c>
      <c r="GM47" s="9">
        <f t="shared" si="98"/>
        <v>0</v>
      </c>
      <c r="GN47" s="8"/>
      <c r="GO47" s="8"/>
      <c r="GP47" s="8"/>
      <c r="GQ47" s="8"/>
      <c r="GR47" s="8"/>
      <c r="HL47" s="1" t="s">
        <v>35</v>
      </c>
      <c r="HM47" s="13">
        <f>FX47-X_Final_2000!S46</f>
        <v>0</v>
      </c>
      <c r="HN47" s="13">
        <f>FY47-X_Final_2000!T46</f>
        <v>0</v>
      </c>
      <c r="HO47" s="13">
        <f>FZ47-X_Final_2000!U46</f>
        <v>0</v>
      </c>
      <c r="HP47" s="13">
        <f>GA47-X_Final_2000!V46</f>
        <v>0</v>
      </c>
      <c r="HQ47" s="13">
        <f>GB47-X_Final_2000!W46</f>
        <v>0</v>
      </c>
      <c r="HR47" s="13">
        <f>GC47-X_Final_2000!X46</f>
        <v>0</v>
      </c>
      <c r="HS47" s="13">
        <f>GD47-X_Final_2000!Y46</f>
        <v>0</v>
      </c>
      <c r="HT47" s="13">
        <f>GE47-X_Final_2000!Z46</f>
        <v>0</v>
      </c>
      <c r="HU47" s="13">
        <f>GF47-X_Final_2000!AA46</f>
        <v>0</v>
      </c>
      <c r="HX47" s="1" t="s">
        <v>35</v>
      </c>
      <c r="HY47" s="13">
        <f>GJ47-X_Final_2000!AE46</f>
        <v>0</v>
      </c>
      <c r="HZ47" s="13">
        <f>GK47-X_Final_2000!AF46</f>
        <v>0</v>
      </c>
      <c r="IA47" s="13">
        <f>GL47-X_Final_2000!AG46</f>
        <v>0</v>
      </c>
      <c r="IB47" s="13">
        <f>GM47-X_Final_2000!AH46</f>
        <v>0</v>
      </c>
    </row>
    <row r="48" spans="18:236" x14ac:dyDescent="0.2">
      <c r="R48" s="1" t="s">
        <v>17</v>
      </c>
      <c r="S48" s="5">
        <v>0</v>
      </c>
      <c r="T48" s="5">
        <v>0</v>
      </c>
      <c r="U48" s="5">
        <v>0</v>
      </c>
      <c r="V48" s="5">
        <v>43000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D48" s="1" t="s">
        <v>17</v>
      </c>
      <c r="AE48" s="3">
        <v>0</v>
      </c>
      <c r="AF48" s="3">
        <v>0</v>
      </c>
      <c r="AI48" s="1"/>
      <c r="AJ48" s="8"/>
      <c r="AK48" s="8"/>
      <c r="AP48" s="1"/>
      <c r="BZ48" s="1" t="s">
        <v>17</v>
      </c>
      <c r="CA48" s="9">
        <f t="shared" si="78"/>
        <v>0</v>
      </c>
      <c r="CB48" s="9">
        <f t="shared" si="79"/>
        <v>0</v>
      </c>
      <c r="CC48" s="9">
        <f t="shared" si="80"/>
        <v>0</v>
      </c>
      <c r="CD48" s="9">
        <f t="shared" si="81"/>
        <v>43000</v>
      </c>
      <c r="CE48" s="9">
        <f t="shared" si="82"/>
        <v>0</v>
      </c>
      <c r="CF48" s="9">
        <f t="shared" si="83"/>
        <v>0</v>
      </c>
      <c r="CG48" s="9">
        <f t="shared" si="84"/>
        <v>0</v>
      </c>
      <c r="CH48" s="9">
        <f t="shared" si="85"/>
        <v>0</v>
      </c>
      <c r="CI48" s="9">
        <f t="shared" si="86"/>
        <v>0</v>
      </c>
      <c r="CL48" s="1" t="s">
        <v>17</v>
      </c>
      <c r="CM48" s="9">
        <f>AE48</f>
        <v>0</v>
      </c>
      <c r="CN48" s="9">
        <v>0</v>
      </c>
      <c r="CO48" s="9">
        <f>AF48</f>
        <v>0</v>
      </c>
      <c r="CP48" s="8"/>
      <c r="CQ48" s="8"/>
      <c r="CR48" s="8"/>
      <c r="CS48" s="8"/>
      <c r="CT48" s="8"/>
      <c r="CU48" s="8"/>
      <c r="CX48" s="1" t="s">
        <v>17</v>
      </c>
      <c r="CY48" s="5">
        <v>0</v>
      </c>
      <c r="CZ48" s="5">
        <v>0</v>
      </c>
      <c r="DA48" s="5">
        <v>0</v>
      </c>
      <c r="DB48" s="5">
        <v>0</v>
      </c>
      <c r="DC48" s="5">
        <v>0</v>
      </c>
      <c r="DD48" s="5">
        <v>0</v>
      </c>
      <c r="DE48" s="5">
        <v>0</v>
      </c>
      <c r="DF48" s="5">
        <v>0</v>
      </c>
      <c r="DG48" s="5">
        <v>0</v>
      </c>
      <c r="DH48" s="5">
        <v>1.04</v>
      </c>
      <c r="DI48" s="5">
        <v>0</v>
      </c>
      <c r="DJ48" s="5">
        <v>0</v>
      </c>
      <c r="DK48" s="5">
        <v>0</v>
      </c>
      <c r="DL48" s="5">
        <v>0</v>
      </c>
      <c r="DO48" s="1" t="s">
        <v>17</v>
      </c>
      <c r="DP48" s="9">
        <v>0</v>
      </c>
      <c r="DQ48" s="9">
        <v>0</v>
      </c>
      <c r="DR48" s="9">
        <v>0</v>
      </c>
      <c r="DS48" s="9">
        <v>44720</v>
      </c>
      <c r="DT48" s="9">
        <v>0</v>
      </c>
      <c r="DU48" s="9">
        <v>0</v>
      </c>
      <c r="DV48" s="9">
        <v>0</v>
      </c>
      <c r="DW48" s="9">
        <v>0</v>
      </c>
      <c r="DX48" s="9">
        <v>0</v>
      </c>
      <c r="EA48" s="1" t="s">
        <v>17</v>
      </c>
      <c r="EB48" s="9">
        <v>0</v>
      </c>
      <c r="EC48" s="9">
        <v>0</v>
      </c>
      <c r="ED48" s="9">
        <v>0</v>
      </c>
      <c r="EE48" s="8"/>
      <c r="EF48" s="8"/>
      <c r="EG48" s="8"/>
      <c r="EH48" s="8"/>
      <c r="EI48" s="8"/>
      <c r="EJ48" s="8"/>
      <c r="FW48" s="1" t="s">
        <v>17</v>
      </c>
      <c r="FX48" s="9">
        <f t="shared" si="87"/>
        <v>0</v>
      </c>
      <c r="FY48" s="9">
        <f t="shared" si="88"/>
        <v>0</v>
      </c>
      <c r="FZ48" s="9">
        <f t="shared" si="89"/>
        <v>0</v>
      </c>
      <c r="GA48" s="9">
        <f t="shared" si="90"/>
        <v>44720</v>
      </c>
      <c r="GB48" s="9">
        <f t="shared" si="91"/>
        <v>0</v>
      </c>
      <c r="GC48" s="9">
        <f t="shared" si="92"/>
        <v>0</v>
      </c>
      <c r="GD48" s="9">
        <f t="shared" si="93"/>
        <v>0</v>
      </c>
      <c r="GE48" s="9">
        <f t="shared" si="94"/>
        <v>0</v>
      </c>
      <c r="GF48" s="9">
        <f t="shared" si="95"/>
        <v>0</v>
      </c>
      <c r="GI48" s="1" t="s">
        <v>17</v>
      </c>
      <c r="GJ48" s="9">
        <v>0</v>
      </c>
      <c r="GK48" s="9">
        <f t="shared" si="96"/>
        <v>0</v>
      </c>
      <c r="GL48" s="9">
        <f t="shared" si="97"/>
        <v>0</v>
      </c>
      <c r="GM48" s="9">
        <f t="shared" si="98"/>
        <v>0</v>
      </c>
      <c r="GN48" s="8"/>
      <c r="GO48" s="8"/>
      <c r="GP48" s="8"/>
      <c r="GQ48" s="8"/>
      <c r="GR48" s="8"/>
      <c r="HL48" s="1" t="s">
        <v>17</v>
      </c>
      <c r="HM48" s="13">
        <f>FX48-X_Final_2000!S47</f>
        <v>0</v>
      </c>
      <c r="HN48" s="13">
        <f>FY48-X_Final_2000!T47</f>
        <v>0</v>
      </c>
      <c r="HO48" s="13">
        <f>FZ48-X_Final_2000!U47</f>
        <v>0</v>
      </c>
      <c r="HP48" s="13">
        <f>GA48-X_Final_2000!V47</f>
        <v>0</v>
      </c>
      <c r="HQ48" s="13">
        <f>GB48-X_Final_2000!W47</f>
        <v>0</v>
      </c>
      <c r="HR48" s="13">
        <f>GC48-X_Final_2000!X47</f>
        <v>0</v>
      </c>
      <c r="HS48" s="13">
        <f>GD48-X_Final_2000!Y47</f>
        <v>0</v>
      </c>
      <c r="HT48" s="13">
        <f>GE48-X_Final_2000!Z47</f>
        <v>0</v>
      </c>
      <c r="HU48" s="13">
        <f>GF48-X_Final_2000!AA47</f>
        <v>0</v>
      </c>
      <c r="HX48" s="1" t="s">
        <v>17</v>
      </c>
      <c r="HY48" s="13">
        <f>GJ48-X_Final_2000!AE47</f>
        <v>0</v>
      </c>
      <c r="HZ48" s="13">
        <f>GK48-X_Final_2000!AF47</f>
        <v>0</v>
      </c>
      <c r="IA48" s="13">
        <f>GL48-X_Final_2000!AG47</f>
        <v>0</v>
      </c>
      <c r="IB48" s="13">
        <f>GM48-X_Final_2000!AH47</f>
        <v>0</v>
      </c>
    </row>
    <row r="49" spans="1:236" x14ac:dyDescent="0.2">
      <c r="R49" s="1" t="s">
        <v>18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16000</v>
      </c>
      <c r="AD49" s="1" t="s">
        <v>18</v>
      </c>
      <c r="AE49" s="3">
        <v>25000</v>
      </c>
      <c r="AF49" s="3">
        <v>0</v>
      </c>
      <c r="AI49" s="1"/>
      <c r="AJ49" s="8"/>
      <c r="AK49" s="8"/>
      <c r="AP49" s="1"/>
      <c r="BZ49" s="1" t="s">
        <v>18</v>
      </c>
      <c r="CA49" s="9">
        <f t="shared" si="78"/>
        <v>0</v>
      </c>
      <c r="CB49" s="9">
        <f t="shared" si="79"/>
        <v>0</v>
      </c>
      <c r="CC49" s="9">
        <f t="shared" si="80"/>
        <v>0</v>
      </c>
      <c r="CD49" s="9">
        <f t="shared" si="81"/>
        <v>0</v>
      </c>
      <c r="CE49" s="9">
        <f t="shared" si="82"/>
        <v>0</v>
      </c>
      <c r="CF49" s="9">
        <f t="shared" si="83"/>
        <v>0</v>
      </c>
      <c r="CG49" s="9">
        <f t="shared" si="84"/>
        <v>0</v>
      </c>
      <c r="CH49" s="9">
        <f t="shared" si="85"/>
        <v>0</v>
      </c>
      <c r="CI49" s="9">
        <f t="shared" si="86"/>
        <v>16000</v>
      </c>
      <c r="CL49" s="1" t="s">
        <v>18</v>
      </c>
      <c r="CM49" s="9">
        <f>AE49</f>
        <v>25000</v>
      </c>
      <c r="CN49" s="9">
        <v>0</v>
      </c>
      <c r="CO49" s="9">
        <f>AF49</f>
        <v>0</v>
      </c>
      <c r="CP49" s="8"/>
      <c r="CQ49" s="8"/>
      <c r="CR49" s="8"/>
      <c r="CS49" s="8"/>
      <c r="CT49" s="8"/>
      <c r="CU49" s="8"/>
      <c r="CX49" s="1" t="s">
        <v>18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1.04</v>
      </c>
      <c r="DJ49" s="5">
        <v>0</v>
      </c>
      <c r="DK49" s="5">
        <v>0</v>
      </c>
      <c r="DL49" s="5">
        <v>0</v>
      </c>
      <c r="DO49" s="1" t="s">
        <v>18</v>
      </c>
      <c r="DP49" s="9">
        <v>0</v>
      </c>
      <c r="DQ49" s="9">
        <v>0</v>
      </c>
      <c r="DR49" s="9">
        <v>0</v>
      </c>
      <c r="DS49" s="9">
        <v>0</v>
      </c>
      <c r="DT49" s="9">
        <v>0</v>
      </c>
      <c r="DU49" s="9">
        <v>0</v>
      </c>
      <c r="DV49" s="9">
        <v>0</v>
      </c>
      <c r="DW49" s="9">
        <v>0</v>
      </c>
      <c r="DX49" s="9">
        <v>16640</v>
      </c>
      <c r="EA49" s="1" t="s">
        <v>18</v>
      </c>
      <c r="EB49" s="9">
        <v>26000</v>
      </c>
      <c r="EC49" s="9">
        <v>0</v>
      </c>
      <c r="ED49" s="9">
        <v>0</v>
      </c>
      <c r="EE49" s="8"/>
      <c r="EF49" s="8"/>
      <c r="EG49" s="8"/>
      <c r="EH49" s="8"/>
      <c r="EI49" s="8"/>
      <c r="EJ49" s="8"/>
      <c r="FW49" s="1" t="s">
        <v>18</v>
      </c>
      <c r="FX49" s="9">
        <f t="shared" si="87"/>
        <v>0</v>
      </c>
      <c r="FY49" s="9">
        <f t="shared" si="88"/>
        <v>0</v>
      </c>
      <c r="FZ49" s="9">
        <f t="shared" si="89"/>
        <v>0</v>
      </c>
      <c r="GA49" s="9">
        <f t="shared" si="90"/>
        <v>0</v>
      </c>
      <c r="GB49" s="9">
        <f t="shared" si="91"/>
        <v>0</v>
      </c>
      <c r="GC49" s="9">
        <f t="shared" si="92"/>
        <v>0</v>
      </c>
      <c r="GD49" s="9">
        <f t="shared" si="93"/>
        <v>0</v>
      </c>
      <c r="GE49" s="9">
        <f t="shared" si="94"/>
        <v>0</v>
      </c>
      <c r="GF49" s="9">
        <f t="shared" si="95"/>
        <v>16640</v>
      </c>
      <c r="GI49" s="1" t="s">
        <v>18</v>
      </c>
      <c r="GJ49" s="9">
        <v>0</v>
      </c>
      <c r="GK49" s="9">
        <f t="shared" si="96"/>
        <v>26000</v>
      </c>
      <c r="GL49" s="9">
        <f t="shared" si="97"/>
        <v>0</v>
      </c>
      <c r="GM49" s="9">
        <f t="shared" si="98"/>
        <v>0</v>
      </c>
      <c r="GN49" s="8"/>
      <c r="GO49" s="8"/>
      <c r="GP49" s="8"/>
      <c r="GQ49" s="8"/>
      <c r="GR49" s="8"/>
      <c r="HL49" s="1" t="s">
        <v>18</v>
      </c>
      <c r="HM49" s="13">
        <f>FX49-X_Final_2000!S48</f>
        <v>0</v>
      </c>
      <c r="HN49" s="13">
        <f>FY49-X_Final_2000!T48</f>
        <v>0</v>
      </c>
      <c r="HO49" s="13">
        <f>FZ49-X_Final_2000!U48</f>
        <v>0</v>
      </c>
      <c r="HP49" s="13">
        <f>GA49-X_Final_2000!V48</f>
        <v>0</v>
      </c>
      <c r="HQ49" s="13">
        <f>GB49-X_Final_2000!W48</f>
        <v>0</v>
      </c>
      <c r="HR49" s="13">
        <f>GC49-X_Final_2000!X48</f>
        <v>0</v>
      </c>
      <c r="HS49" s="13">
        <f>GD49-X_Final_2000!Y48</f>
        <v>0</v>
      </c>
      <c r="HT49" s="13">
        <f>GE49-X_Final_2000!Z48</f>
        <v>0</v>
      </c>
      <c r="HU49" s="13">
        <f>GF49-X_Final_2000!AA48</f>
        <v>0</v>
      </c>
      <c r="HX49" s="1" t="s">
        <v>18</v>
      </c>
      <c r="HY49" s="13">
        <f>GJ49-X_Final_2000!AE48</f>
        <v>0</v>
      </c>
      <c r="HZ49" s="13">
        <f>GK49-X_Final_2000!AF48</f>
        <v>0</v>
      </c>
      <c r="IA49" s="13">
        <f>GL49-X_Final_2000!AG48</f>
        <v>0</v>
      </c>
      <c r="IB49" s="13">
        <f>GM49-X_Final_2000!AH48</f>
        <v>0</v>
      </c>
    </row>
    <row r="50" spans="1:236" x14ac:dyDescent="0.2">
      <c r="R50" s="1" t="s">
        <v>19</v>
      </c>
      <c r="S50" s="5">
        <v>0</v>
      </c>
      <c r="T50" s="5">
        <v>0</v>
      </c>
      <c r="U50" s="5">
        <v>0</v>
      </c>
      <c r="V50" s="5">
        <v>2000</v>
      </c>
      <c r="W50" s="5">
        <v>41000</v>
      </c>
      <c r="X50" s="5">
        <v>0</v>
      </c>
      <c r="Y50" s="5">
        <v>0</v>
      </c>
      <c r="Z50" s="5">
        <v>0</v>
      </c>
      <c r="AA50" s="5">
        <v>0</v>
      </c>
      <c r="AD50" s="1" t="s">
        <v>19</v>
      </c>
      <c r="AE50" s="3">
        <v>0</v>
      </c>
      <c r="AF50" s="3">
        <v>0</v>
      </c>
      <c r="AI50" s="1"/>
      <c r="AJ50" s="8"/>
      <c r="AK50" s="8"/>
      <c r="AP50" s="1"/>
      <c r="BZ50" s="1" t="s">
        <v>19</v>
      </c>
      <c r="CA50" s="9">
        <f t="shared" si="78"/>
        <v>0</v>
      </c>
      <c r="CB50" s="9">
        <f t="shared" si="79"/>
        <v>0</v>
      </c>
      <c r="CC50" s="9">
        <f t="shared" si="80"/>
        <v>0</v>
      </c>
      <c r="CD50" s="9">
        <f t="shared" si="81"/>
        <v>2000</v>
      </c>
      <c r="CE50" s="9">
        <f t="shared" si="82"/>
        <v>41000</v>
      </c>
      <c r="CF50" s="9">
        <f t="shared" si="83"/>
        <v>0</v>
      </c>
      <c r="CG50" s="9">
        <f t="shared" si="84"/>
        <v>0</v>
      </c>
      <c r="CH50" s="9">
        <f t="shared" si="85"/>
        <v>0</v>
      </c>
      <c r="CI50" s="9">
        <f t="shared" si="86"/>
        <v>0</v>
      </c>
      <c r="CL50" s="1" t="s">
        <v>19</v>
      </c>
      <c r="CM50" s="9">
        <f>AE50</f>
        <v>0</v>
      </c>
      <c r="CN50" s="9">
        <v>0</v>
      </c>
      <c r="CO50" s="9">
        <f>AF50</f>
        <v>0</v>
      </c>
      <c r="CP50" s="8"/>
      <c r="CQ50" s="8"/>
      <c r="CR50" s="8"/>
      <c r="CS50" s="8"/>
      <c r="CT50" s="8"/>
      <c r="CU50" s="8"/>
      <c r="CX50" s="1" t="s">
        <v>19</v>
      </c>
      <c r="CY50" s="5">
        <v>0</v>
      </c>
      <c r="CZ50" s="5">
        <v>0</v>
      </c>
      <c r="DA50" s="5">
        <v>0</v>
      </c>
      <c r="DB50" s="5">
        <v>0</v>
      </c>
      <c r="DC50" s="5">
        <v>0</v>
      </c>
      <c r="DD50" s="5">
        <v>0</v>
      </c>
      <c r="DE50" s="5">
        <v>0</v>
      </c>
      <c r="DF50" s="5">
        <v>0</v>
      </c>
      <c r="DG50" s="5">
        <v>0</v>
      </c>
      <c r="DH50" s="5">
        <v>0</v>
      </c>
      <c r="DI50" s="5">
        <v>0</v>
      </c>
      <c r="DJ50" s="5">
        <v>1.04</v>
      </c>
      <c r="DK50" s="5">
        <v>0</v>
      </c>
      <c r="DL50" s="5">
        <v>0</v>
      </c>
      <c r="DO50" s="1" t="s">
        <v>19</v>
      </c>
      <c r="DP50" s="9">
        <v>0</v>
      </c>
      <c r="DQ50" s="9">
        <v>0</v>
      </c>
      <c r="DR50" s="9">
        <v>0</v>
      </c>
      <c r="DS50" s="9">
        <v>2080</v>
      </c>
      <c r="DT50" s="9">
        <v>42640</v>
      </c>
      <c r="DU50" s="9">
        <v>0</v>
      </c>
      <c r="DV50" s="9">
        <v>0</v>
      </c>
      <c r="DW50" s="9">
        <v>0</v>
      </c>
      <c r="DX50" s="9">
        <v>0</v>
      </c>
      <c r="EA50" s="1" t="s">
        <v>19</v>
      </c>
      <c r="EB50" s="9">
        <v>0</v>
      </c>
      <c r="EC50" s="9">
        <v>0</v>
      </c>
      <c r="ED50" s="9">
        <v>0</v>
      </c>
      <c r="EE50" s="8"/>
      <c r="EF50" s="8"/>
      <c r="EG50" s="8"/>
      <c r="EH50" s="8"/>
      <c r="EI50" s="8"/>
      <c r="EJ50" s="8"/>
      <c r="FW50" s="1" t="s">
        <v>19</v>
      </c>
      <c r="FX50" s="9">
        <f t="shared" si="87"/>
        <v>0</v>
      </c>
      <c r="FY50" s="9">
        <f t="shared" si="88"/>
        <v>0</v>
      </c>
      <c r="FZ50" s="9">
        <f t="shared" si="89"/>
        <v>0</v>
      </c>
      <c r="GA50" s="9">
        <f t="shared" si="90"/>
        <v>2080</v>
      </c>
      <c r="GB50" s="9">
        <f t="shared" si="91"/>
        <v>42640</v>
      </c>
      <c r="GC50" s="9">
        <f t="shared" si="92"/>
        <v>0</v>
      </c>
      <c r="GD50" s="9">
        <f t="shared" si="93"/>
        <v>0</v>
      </c>
      <c r="GE50" s="9">
        <f t="shared" si="94"/>
        <v>0</v>
      </c>
      <c r="GF50" s="9">
        <f t="shared" si="95"/>
        <v>0</v>
      </c>
      <c r="GI50" s="1" t="s">
        <v>19</v>
      </c>
      <c r="GJ50" s="9">
        <v>0</v>
      </c>
      <c r="GK50" s="9">
        <f t="shared" si="96"/>
        <v>0</v>
      </c>
      <c r="GL50" s="9">
        <f t="shared" si="97"/>
        <v>0</v>
      </c>
      <c r="GM50" s="9">
        <f t="shared" si="98"/>
        <v>0</v>
      </c>
      <c r="GN50" s="8"/>
      <c r="GO50" s="8"/>
      <c r="GP50" s="8"/>
      <c r="GQ50" s="8"/>
      <c r="GR50" s="8"/>
      <c r="HL50" s="1" t="s">
        <v>19</v>
      </c>
      <c r="HM50" s="13">
        <f>FX50-X_Final_2000!S49</f>
        <v>0</v>
      </c>
      <c r="HN50" s="13">
        <f>FY50-X_Final_2000!T49</f>
        <v>0</v>
      </c>
      <c r="HO50" s="13">
        <f>FZ50-X_Final_2000!U49</f>
        <v>0</v>
      </c>
      <c r="HP50" s="13">
        <f>GA50-X_Final_2000!V49</f>
        <v>0</v>
      </c>
      <c r="HQ50" s="13">
        <f>GB50-X_Final_2000!W49</f>
        <v>0</v>
      </c>
      <c r="HR50" s="13">
        <f>GC50-X_Final_2000!X49</f>
        <v>0</v>
      </c>
      <c r="HS50" s="13">
        <f>GD50-X_Final_2000!Y49</f>
        <v>0</v>
      </c>
      <c r="HT50" s="13">
        <f>GE50-X_Final_2000!Z49</f>
        <v>0</v>
      </c>
      <c r="HU50" s="13">
        <f>GF50-X_Final_2000!AA49</f>
        <v>0</v>
      </c>
      <c r="HX50" s="1" t="s">
        <v>19</v>
      </c>
      <c r="HY50" s="13">
        <f>GJ50-X_Final_2000!AE49</f>
        <v>0</v>
      </c>
      <c r="HZ50" s="13">
        <f>GK50-X_Final_2000!AF49</f>
        <v>0</v>
      </c>
      <c r="IA50" s="13">
        <f>GL50-X_Final_2000!AG49</f>
        <v>0</v>
      </c>
      <c r="IB50" s="13">
        <f>GM50-X_Final_2000!AH49</f>
        <v>0</v>
      </c>
    </row>
    <row r="51" spans="1:236" x14ac:dyDescent="0.2">
      <c r="R51" s="1" t="s">
        <v>20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26500</v>
      </c>
      <c r="AA51" s="5">
        <v>0</v>
      </c>
      <c r="AD51" s="1" t="s">
        <v>20</v>
      </c>
      <c r="AE51" s="3">
        <v>0</v>
      </c>
      <c r="AF51" s="3">
        <v>0</v>
      </c>
      <c r="AP51" s="1"/>
      <c r="BZ51" s="1" t="s">
        <v>20</v>
      </c>
      <c r="CA51" s="9">
        <f t="shared" si="78"/>
        <v>0</v>
      </c>
      <c r="CB51" s="9">
        <f t="shared" si="79"/>
        <v>0</v>
      </c>
      <c r="CC51" s="9">
        <f t="shared" si="80"/>
        <v>0</v>
      </c>
      <c r="CD51" s="9">
        <f t="shared" si="81"/>
        <v>0</v>
      </c>
      <c r="CE51" s="9">
        <f t="shared" si="82"/>
        <v>0</v>
      </c>
      <c r="CF51" s="9">
        <f t="shared" si="83"/>
        <v>0</v>
      </c>
      <c r="CG51" s="9">
        <f t="shared" si="84"/>
        <v>0</v>
      </c>
      <c r="CH51" s="9">
        <f t="shared" si="85"/>
        <v>26500</v>
      </c>
      <c r="CI51" s="9">
        <f t="shared" si="86"/>
        <v>0</v>
      </c>
      <c r="CL51" s="1" t="s">
        <v>20</v>
      </c>
      <c r="CM51" s="9">
        <f>AE51</f>
        <v>0</v>
      </c>
      <c r="CN51" s="9">
        <v>0</v>
      </c>
      <c r="CO51" s="9">
        <f>AF51</f>
        <v>0</v>
      </c>
      <c r="CP51" s="8"/>
      <c r="CQ51" s="8"/>
      <c r="CR51" s="8"/>
      <c r="CS51" s="8"/>
      <c r="CT51" s="8"/>
      <c r="CU51" s="8"/>
      <c r="CX51" s="1" t="s">
        <v>20</v>
      </c>
      <c r="CY51" s="5">
        <v>0</v>
      </c>
      <c r="CZ51" s="5">
        <v>0</v>
      </c>
      <c r="DA51" s="5">
        <v>0</v>
      </c>
      <c r="DB51" s="5">
        <v>0</v>
      </c>
      <c r="DC51" s="5">
        <v>0</v>
      </c>
      <c r="DD51" s="5">
        <v>0</v>
      </c>
      <c r="DE51" s="5">
        <v>0</v>
      </c>
      <c r="DF51" s="5">
        <v>0</v>
      </c>
      <c r="DG51" s="5">
        <v>0</v>
      </c>
      <c r="DH51" s="5">
        <v>0</v>
      </c>
      <c r="DI51" s="5">
        <v>0</v>
      </c>
      <c r="DJ51" s="5">
        <v>0</v>
      </c>
      <c r="DK51" s="5">
        <v>1.06</v>
      </c>
      <c r="DL51" s="5">
        <v>0</v>
      </c>
      <c r="DO51" s="1" t="s">
        <v>20</v>
      </c>
      <c r="DP51" s="9">
        <v>0</v>
      </c>
      <c r="DQ51" s="9">
        <v>0</v>
      </c>
      <c r="DR51" s="9">
        <v>0</v>
      </c>
      <c r="DS51" s="9">
        <v>0</v>
      </c>
      <c r="DT51" s="9">
        <v>0</v>
      </c>
      <c r="DU51" s="9">
        <v>0</v>
      </c>
      <c r="DV51" s="9">
        <v>0</v>
      </c>
      <c r="DW51" s="9">
        <v>28090</v>
      </c>
      <c r="DX51" s="9">
        <v>0</v>
      </c>
      <c r="EA51" s="1" t="s">
        <v>20</v>
      </c>
      <c r="EB51" s="9">
        <v>0</v>
      </c>
      <c r="EC51" s="9">
        <v>0</v>
      </c>
      <c r="ED51" s="9">
        <v>0</v>
      </c>
      <c r="EE51" s="8"/>
      <c r="EF51" s="8"/>
      <c r="EG51" s="8"/>
      <c r="EH51" s="8"/>
      <c r="EI51" s="8"/>
      <c r="EJ51" s="8"/>
      <c r="FW51" s="1" t="s">
        <v>20</v>
      </c>
      <c r="FX51" s="9">
        <f t="shared" si="87"/>
        <v>0</v>
      </c>
      <c r="FY51" s="9">
        <f t="shared" si="88"/>
        <v>0</v>
      </c>
      <c r="FZ51" s="9">
        <f t="shared" si="89"/>
        <v>0</v>
      </c>
      <c r="GA51" s="9">
        <f t="shared" si="90"/>
        <v>0</v>
      </c>
      <c r="GB51" s="9">
        <f t="shared" si="91"/>
        <v>0</v>
      </c>
      <c r="GC51" s="9">
        <f t="shared" si="92"/>
        <v>0</v>
      </c>
      <c r="GD51" s="9">
        <f t="shared" si="93"/>
        <v>0</v>
      </c>
      <c r="GE51" s="9">
        <f t="shared" si="94"/>
        <v>28090</v>
      </c>
      <c r="GF51" s="9">
        <f t="shared" si="95"/>
        <v>0</v>
      </c>
      <c r="GI51" s="1" t="s">
        <v>20</v>
      </c>
      <c r="GJ51" s="9">
        <v>0</v>
      </c>
      <c r="GK51" s="9">
        <f t="shared" si="96"/>
        <v>0</v>
      </c>
      <c r="GL51" s="9">
        <f t="shared" si="97"/>
        <v>0</v>
      </c>
      <c r="GM51" s="9">
        <f t="shared" si="98"/>
        <v>0</v>
      </c>
      <c r="GN51" s="8"/>
      <c r="GO51" s="8"/>
      <c r="GP51" s="8"/>
      <c r="GQ51" s="8"/>
      <c r="GR51" s="8"/>
      <c r="HL51" s="1" t="s">
        <v>20</v>
      </c>
      <c r="HM51" s="13">
        <f>FX51-X_Final_2000!S50</f>
        <v>0</v>
      </c>
      <c r="HN51" s="13">
        <f>FY51-X_Final_2000!T50</f>
        <v>0</v>
      </c>
      <c r="HO51" s="13">
        <f>FZ51-X_Final_2000!U50</f>
        <v>0</v>
      </c>
      <c r="HP51" s="13">
        <f>GA51-X_Final_2000!V50</f>
        <v>0</v>
      </c>
      <c r="HQ51" s="13">
        <f>GB51-X_Final_2000!W50</f>
        <v>0</v>
      </c>
      <c r="HR51" s="13">
        <f>GC51-X_Final_2000!X50</f>
        <v>0</v>
      </c>
      <c r="HS51" s="13">
        <f>GD51-X_Final_2000!Y50</f>
        <v>0</v>
      </c>
      <c r="HT51" s="13">
        <f>GE51-X_Final_2000!Z50</f>
        <v>0</v>
      </c>
      <c r="HU51" s="13">
        <f>GF51-X_Final_2000!AA50</f>
        <v>0</v>
      </c>
      <c r="HX51" s="1" t="s">
        <v>20</v>
      </c>
      <c r="HY51" s="13">
        <f>GJ51-X_Final_2000!AE50</f>
        <v>0</v>
      </c>
      <c r="HZ51" s="13">
        <f>GK51-X_Final_2000!AF50</f>
        <v>0</v>
      </c>
      <c r="IA51" s="13">
        <f>GL51-X_Final_2000!AG50</f>
        <v>0</v>
      </c>
      <c r="IB51" s="13">
        <f>GM51-X_Final_2000!AH50</f>
        <v>0</v>
      </c>
    </row>
    <row r="52" spans="1:236" x14ac:dyDescent="0.2">
      <c r="A52" t="s">
        <v>48</v>
      </c>
      <c r="R52" s="1" t="s">
        <v>21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500</v>
      </c>
      <c r="AA52" s="5">
        <v>0</v>
      </c>
      <c r="AD52" s="1" t="s">
        <v>21</v>
      </c>
      <c r="AE52" s="3">
        <v>0</v>
      </c>
      <c r="AF52" s="3">
        <v>26000</v>
      </c>
      <c r="AP52" s="1"/>
      <c r="BZ52" s="1" t="s">
        <v>21</v>
      </c>
      <c r="CA52" s="9">
        <f t="shared" si="78"/>
        <v>0</v>
      </c>
      <c r="CB52" s="9">
        <f t="shared" si="79"/>
        <v>0</v>
      </c>
      <c r="CC52" s="9">
        <f t="shared" si="80"/>
        <v>0</v>
      </c>
      <c r="CD52" s="9">
        <f t="shared" si="81"/>
        <v>0</v>
      </c>
      <c r="CE52" s="9">
        <f t="shared" si="82"/>
        <v>0</v>
      </c>
      <c r="CF52" s="9">
        <f t="shared" si="83"/>
        <v>0</v>
      </c>
      <c r="CG52" s="9">
        <f t="shared" si="84"/>
        <v>0</v>
      </c>
      <c r="CH52" s="9">
        <f t="shared" si="85"/>
        <v>500</v>
      </c>
      <c r="CI52" s="9">
        <f t="shared" si="86"/>
        <v>0</v>
      </c>
      <c r="CL52" s="1" t="s">
        <v>21</v>
      </c>
      <c r="CM52" s="9">
        <f>AE52</f>
        <v>0</v>
      </c>
      <c r="CN52" s="9">
        <v>0</v>
      </c>
      <c r="CO52" s="9">
        <f>AF52</f>
        <v>26000</v>
      </c>
      <c r="CP52" s="8"/>
      <c r="CQ52" s="8"/>
      <c r="CR52" s="8"/>
      <c r="CS52" s="8"/>
      <c r="CT52" s="8"/>
      <c r="CU52" s="8"/>
      <c r="CX52" s="1" t="s">
        <v>21</v>
      </c>
      <c r="CY52" s="5">
        <v>0</v>
      </c>
      <c r="CZ52" s="5">
        <v>0</v>
      </c>
      <c r="DA52" s="5">
        <v>0</v>
      </c>
      <c r="DB52" s="5">
        <v>0</v>
      </c>
      <c r="DC52" s="5">
        <v>0</v>
      </c>
      <c r="DD52" s="5">
        <v>0</v>
      </c>
      <c r="DE52" s="5">
        <v>0</v>
      </c>
      <c r="DF52" s="5">
        <v>0</v>
      </c>
      <c r="DG52" s="5">
        <v>0</v>
      </c>
      <c r="DH52" s="5">
        <v>0</v>
      </c>
      <c r="DI52" s="5">
        <v>0</v>
      </c>
      <c r="DJ52" s="5">
        <v>0</v>
      </c>
      <c r="DK52" s="5">
        <v>0</v>
      </c>
      <c r="DL52" s="5">
        <v>1.06</v>
      </c>
      <c r="DO52" s="1" t="s">
        <v>21</v>
      </c>
      <c r="DP52" s="9">
        <v>0</v>
      </c>
      <c r="DQ52" s="9">
        <v>0</v>
      </c>
      <c r="DR52" s="9">
        <v>0</v>
      </c>
      <c r="DS52" s="9">
        <v>0</v>
      </c>
      <c r="DT52" s="9">
        <v>0</v>
      </c>
      <c r="DU52" s="9">
        <v>0</v>
      </c>
      <c r="DV52" s="9">
        <v>0</v>
      </c>
      <c r="DW52" s="9">
        <v>530</v>
      </c>
      <c r="DX52" s="9">
        <v>0</v>
      </c>
      <c r="EA52" s="1" t="s">
        <v>21</v>
      </c>
      <c r="EB52" s="9">
        <v>0</v>
      </c>
      <c r="EC52" s="9">
        <v>0</v>
      </c>
      <c r="ED52" s="9">
        <v>27560</v>
      </c>
      <c r="EE52" s="8"/>
      <c r="EF52" s="8"/>
      <c r="EG52" s="8"/>
      <c r="EH52" s="8"/>
      <c r="EI52" s="8"/>
      <c r="EJ52" s="8"/>
      <c r="FW52" s="1" t="s">
        <v>21</v>
      </c>
      <c r="FX52" s="9">
        <f t="shared" si="87"/>
        <v>0</v>
      </c>
      <c r="FY52" s="9">
        <f t="shared" si="88"/>
        <v>0</v>
      </c>
      <c r="FZ52" s="9">
        <f t="shared" si="89"/>
        <v>0</v>
      </c>
      <c r="GA52" s="9">
        <f t="shared" si="90"/>
        <v>0</v>
      </c>
      <c r="GB52" s="9">
        <f t="shared" si="91"/>
        <v>0</v>
      </c>
      <c r="GC52" s="9">
        <f t="shared" si="92"/>
        <v>0</v>
      </c>
      <c r="GD52" s="9">
        <f t="shared" si="93"/>
        <v>0</v>
      </c>
      <c r="GE52" s="9">
        <f t="shared" si="94"/>
        <v>530</v>
      </c>
      <c r="GF52" s="9">
        <f t="shared" si="95"/>
        <v>0</v>
      </c>
      <c r="GI52" s="1" t="s">
        <v>21</v>
      </c>
      <c r="GJ52" s="9">
        <v>0</v>
      </c>
      <c r="GK52" s="9">
        <f t="shared" si="96"/>
        <v>0</v>
      </c>
      <c r="GL52" s="9">
        <f t="shared" si="97"/>
        <v>0</v>
      </c>
      <c r="GM52" s="9">
        <f t="shared" si="98"/>
        <v>27560</v>
      </c>
      <c r="GN52" s="8"/>
      <c r="GO52" s="8"/>
      <c r="GP52" s="8"/>
      <c r="GQ52" s="8"/>
      <c r="GR52" s="8"/>
      <c r="HL52" s="1" t="s">
        <v>21</v>
      </c>
      <c r="HM52" s="13">
        <f>FX52-X_Final_2000!S51</f>
        <v>0</v>
      </c>
      <c r="HN52" s="13">
        <f>FY52-X_Final_2000!T51</f>
        <v>0</v>
      </c>
      <c r="HO52" s="13">
        <f>FZ52-X_Final_2000!U51</f>
        <v>0</v>
      </c>
      <c r="HP52" s="13">
        <f>GA52-X_Final_2000!V51</f>
        <v>0</v>
      </c>
      <c r="HQ52" s="13">
        <f>GB52-X_Final_2000!W51</f>
        <v>0</v>
      </c>
      <c r="HR52" s="13">
        <f>GC52-X_Final_2000!X51</f>
        <v>0</v>
      </c>
      <c r="HS52" s="13">
        <f>GD52-X_Final_2000!Y51</f>
        <v>0</v>
      </c>
      <c r="HT52" s="13">
        <f>GE52-X_Final_2000!Z51</f>
        <v>0</v>
      </c>
      <c r="HU52" s="13">
        <f>GF52-X_Final_2000!AA51</f>
        <v>0</v>
      </c>
      <c r="HX52" s="1" t="s">
        <v>21</v>
      </c>
      <c r="HY52" s="13">
        <f>GJ52-X_Final_2000!AE51</f>
        <v>0</v>
      </c>
      <c r="HZ52" s="13">
        <f>GK52-X_Final_2000!AF51</f>
        <v>0</v>
      </c>
      <c r="IA52" s="13">
        <f>GL52-X_Final_2000!AG51</f>
        <v>0</v>
      </c>
      <c r="IB52" s="13">
        <f>GM52-X_Final_2000!AH51</f>
        <v>0</v>
      </c>
    </row>
    <row r="53" spans="1:236" x14ac:dyDescent="0.2">
      <c r="S53" s="17" t="s">
        <v>28</v>
      </c>
      <c r="T53" s="18"/>
      <c r="U53" s="18"/>
      <c r="V53" s="18"/>
      <c r="W53" s="18"/>
      <c r="X53" s="18"/>
      <c r="Y53" s="18"/>
      <c r="Z53" s="18"/>
      <c r="AA53" s="18"/>
      <c r="AE53" s="17" t="s">
        <v>29</v>
      </c>
      <c r="AF53" s="18"/>
      <c r="CA53" s="17" t="s">
        <v>28</v>
      </c>
      <c r="CB53" s="17"/>
      <c r="CC53" s="17"/>
      <c r="CD53" s="17"/>
      <c r="CE53" s="17"/>
      <c r="CF53" s="17"/>
      <c r="CG53" s="17"/>
      <c r="CH53" s="17"/>
      <c r="CI53" s="17"/>
      <c r="CM53" s="22" t="s">
        <v>29</v>
      </c>
      <c r="CN53" s="22"/>
      <c r="CO53" s="22"/>
      <c r="CP53" s="10"/>
      <c r="CQ53" s="10"/>
      <c r="CR53" s="10"/>
      <c r="CS53" s="10"/>
      <c r="CT53" s="10"/>
      <c r="CU53" s="10"/>
      <c r="CY53" s="22" t="s">
        <v>43</v>
      </c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P53" s="17" t="s">
        <v>28</v>
      </c>
      <c r="DQ53" s="17"/>
      <c r="DR53" s="17"/>
      <c r="DS53" s="17"/>
      <c r="DT53" s="17"/>
      <c r="DU53" s="17"/>
      <c r="DV53" s="17"/>
      <c r="DW53" s="17"/>
      <c r="DX53" s="17"/>
      <c r="EB53" s="22" t="s">
        <v>29</v>
      </c>
      <c r="EC53" s="22"/>
      <c r="ED53" s="22"/>
      <c r="EE53" s="10"/>
      <c r="EF53" s="10"/>
      <c r="EG53" s="10"/>
      <c r="EH53" s="10"/>
      <c r="EI53" s="10"/>
      <c r="EJ53" s="10"/>
      <c r="FX53" s="17" t="s">
        <v>28</v>
      </c>
      <c r="FY53" s="17"/>
      <c r="FZ53" s="17"/>
      <c r="GA53" s="17"/>
      <c r="GB53" s="17"/>
      <c r="GC53" s="17"/>
      <c r="GD53" s="17"/>
      <c r="GE53" s="17"/>
      <c r="GF53" s="17"/>
      <c r="GJ53" s="22" t="s">
        <v>29</v>
      </c>
      <c r="GK53" s="22"/>
      <c r="GL53" s="22"/>
      <c r="GM53" s="22"/>
      <c r="GN53" s="10"/>
      <c r="GO53" s="10"/>
      <c r="GP53" s="10"/>
      <c r="GQ53" s="10"/>
      <c r="GR53" s="10"/>
      <c r="HM53" s="17" t="s">
        <v>57</v>
      </c>
      <c r="HN53" s="17"/>
      <c r="HO53" s="17"/>
      <c r="HP53" s="17"/>
      <c r="HQ53" s="17"/>
      <c r="HR53" s="17"/>
      <c r="HS53" s="17"/>
      <c r="HT53" s="17"/>
      <c r="HU53" s="17"/>
      <c r="HY53" s="22" t="s">
        <v>58</v>
      </c>
      <c r="HZ53" s="22"/>
      <c r="IA53" s="22"/>
      <c r="IB53" s="22"/>
    </row>
    <row r="54" spans="1:236" x14ac:dyDescent="0.2">
      <c r="CA54" s="20" t="s">
        <v>42</v>
      </c>
      <c r="CB54" s="20"/>
      <c r="CC54" s="20"/>
      <c r="CD54" s="20"/>
      <c r="CE54" s="20"/>
      <c r="CF54" s="20"/>
      <c r="CG54" s="20"/>
      <c r="CH54" s="20"/>
      <c r="CI54" s="20"/>
      <c r="CM54" s="20" t="s">
        <v>41</v>
      </c>
      <c r="CN54" s="20"/>
      <c r="CO54" s="20"/>
      <c r="CP54" s="8"/>
      <c r="CQ54" s="8"/>
      <c r="CR54" s="8"/>
      <c r="CS54" s="8"/>
      <c r="CT54" s="8"/>
      <c r="CU54" s="8"/>
      <c r="CY54" s="20" t="s">
        <v>47</v>
      </c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P54" s="20" t="s">
        <v>49</v>
      </c>
      <c r="DQ54" s="20"/>
      <c r="DR54" s="20"/>
      <c r="DS54" s="20"/>
      <c r="DT54" s="20"/>
      <c r="DU54" s="20"/>
      <c r="DV54" s="20"/>
      <c r="DW54" s="20"/>
      <c r="DX54" s="20"/>
      <c r="EB54" s="20" t="s">
        <v>49</v>
      </c>
      <c r="EC54" s="20"/>
      <c r="ED54" s="20"/>
      <c r="FX54" s="20" t="s">
        <v>42</v>
      </c>
      <c r="FY54" s="20"/>
      <c r="FZ54" s="20"/>
      <c r="GA54" s="20"/>
      <c r="GB54" s="20"/>
      <c r="GC54" s="20"/>
      <c r="GD54" s="20"/>
      <c r="GE54" s="20"/>
      <c r="GF54" s="20"/>
      <c r="GJ54" s="20" t="s">
        <v>51</v>
      </c>
      <c r="GK54" s="20"/>
      <c r="GL54" s="20"/>
      <c r="GM54" s="20"/>
      <c r="GN54" s="8"/>
      <c r="GO54" s="8"/>
      <c r="GP54" s="8"/>
      <c r="GQ54" s="8"/>
      <c r="GR54" s="8"/>
      <c r="HM54" s="20"/>
      <c r="HN54" s="20"/>
      <c r="HO54" s="20"/>
      <c r="HP54" s="20"/>
      <c r="HQ54" s="20"/>
      <c r="HR54" s="20"/>
      <c r="HS54" s="20"/>
      <c r="HT54" s="20"/>
      <c r="HU54" s="20"/>
    </row>
    <row r="56" spans="1:236" ht="172" x14ac:dyDescent="0.2">
      <c r="B56" s="2" t="s">
        <v>10</v>
      </c>
      <c r="C56" s="2" t="s">
        <v>11</v>
      </c>
      <c r="D56" s="2" t="s">
        <v>12</v>
      </c>
      <c r="E56" s="2" t="s">
        <v>34</v>
      </c>
      <c r="F56" s="2" t="s">
        <v>13</v>
      </c>
      <c r="G56" s="2" t="s">
        <v>14</v>
      </c>
      <c r="H56" s="2" t="s">
        <v>15</v>
      </c>
      <c r="I56" s="2" t="s">
        <v>16</v>
      </c>
      <c r="J56" s="2" t="s">
        <v>35</v>
      </c>
      <c r="K56" s="2" t="s">
        <v>17</v>
      </c>
      <c r="L56" s="2" t="s">
        <v>18</v>
      </c>
      <c r="M56" s="2" t="s">
        <v>19</v>
      </c>
      <c r="N56" s="2" t="s">
        <v>20</v>
      </c>
      <c r="O56" s="2" t="s">
        <v>21</v>
      </c>
      <c r="BJ56" s="2" t="s">
        <v>10</v>
      </c>
      <c r="BK56" s="2" t="s">
        <v>11</v>
      </c>
      <c r="BL56" s="2" t="s">
        <v>12</v>
      </c>
      <c r="BM56" s="2" t="s">
        <v>34</v>
      </c>
      <c r="BN56" s="2" t="s">
        <v>13</v>
      </c>
      <c r="BO56" s="2" t="s">
        <v>14</v>
      </c>
      <c r="BP56" s="2" t="s">
        <v>15</v>
      </c>
      <c r="BQ56" s="2" t="s">
        <v>16</v>
      </c>
      <c r="BR56" s="2" t="s">
        <v>35</v>
      </c>
      <c r="BS56" s="2" t="s">
        <v>17</v>
      </c>
      <c r="BT56" s="2" t="s">
        <v>18</v>
      </c>
      <c r="BU56" s="2" t="s">
        <v>19</v>
      </c>
      <c r="BV56" s="2" t="s">
        <v>20</v>
      </c>
      <c r="BW56" s="2" t="s">
        <v>21</v>
      </c>
      <c r="CY56" s="2" t="s">
        <v>10</v>
      </c>
      <c r="CZ56" s="2" t="s">
        <v>11</v>
      </c>
      <c r="DA56" s="2" t="s">
        <v>12</v>
      </c>
      <c r="DB56" s="2" t="s">
        <v>34</v>
      </c>
      <c r="DC56" s="2" t="s">
        <v>13</v>
      </c>
      <c r="DD56" s="2" t="s">
        <v>14</v>
      </c>
      <c r="DE56" s="2" t="s">
        <v>15</v>
      </c>
      <c r="DF56" s="2" t="s">
        <v>16</v>
      </c>
      <c r="DG56" s="2" t="s">
        <v>35</v>
      </c>
      <c r="DH56" s="2" t="s">
        <v>17</v>
      </c>
      <c r="DI56" s="2" t="s">
        <v>18</v>
      </c>
      <c r="DJ56" s="2" t="s">
        <v>19</v>
      </c>
      <c r="DK56" s="2" t="s">
        <v>20</v>
      </c>
      <c r="DL56" s="2" t="s">
        <v>21</v>
      </c>
      <c r="FG56" s="2" t="s">
        <v>10</v>
      </c>
      <c r="FH56" s="2" t="s">
        <v>11</v>
      </c>
      <c r="FI56" s="2" t="s">
        <v>12</v>
      </c>
      <c r="FJ56" s="2" t="s">
        <v>34</v>
      </c>
      <c r="FK56" s="2" t="s">
        <v>13</v>
      </c>
      <c r="FL56" s="2" t="s">
        <v>14</v>
      </c>
      <c r="FM56" s="2" t="s">
        <v>15</v>
      </c>
      <c r="FN56" s="2" t="s">
        <v>16</v>
      </c>
      <c r="FO56" s="2" t="s">
        <v>35</v>
      </c>
      <c r="FP56" s="2" t="s">
        <v>17</v>
      </c>
      <c r="FQ56" s="2" t="s">
        <v>18</v>
      </c>
      <c r="FR56" s="2" t="s">
        <v>19</v>
      </c>
      <c r="FS56" s="2" t="s">
        <v>20</v>
      </c>
      <c r="FT56" s="2" t="s">
        <v>21</v>
      </c>
      <c r="GV56" s="2" t="s">
        <v>10</v>
      </c>
      <c r="GW56" s="2" t="s">
        <v>11</v>
      </c>
      <c r="GX56" s="2" t="s">
        <v>12</v>
      </c>
      <c r="GY56" s="2" t="s">
        <v>34</v>
      </c>
      <c r="GZ56" s="2" t="s">
        <v>13</v>
      </c>
      <c r="HA56" s="2" t="s">
        <v>14</v>
      </c>
      <c r="HB56" s="2" t="s">
        <v>15</v>
      </c>
      <c r="HC56" s="2" t="s">
        <v>16</v>
      </c>
      <c r="HD56" s="2" t="s">
        <v>35</v>
      </c>
      <c r="HE56" s="2" t="s">
        <v>17</v>
      </c>
      <c r="HF56" s="2" t="s">
        <v>18</v>
      </c>
      <c r="HG56" s="2" t="s">
        <v>19</v>
      </c>
      <c r="HH56" s="2" t="s">
        <v>20</v>
      </c>
      <c r="HI56" s="2" t="s">
        <v>21</v>
      </c>
    </row>
    <row r="57" spans="1:236" x14ac:dyDescent="0.2">
      <c r="A57" s="1" t="s">
        <v>1</v>
      </c>
      <c r="B57" s="5">
        <v>0</v>
      </c>
      <c r="C57" s="5">
        <v>47500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BI57" s="1" t="s">
        <v>1</v>
      </c>
      <c r="BJ57" s="9">
        <f t="shared" ref="BJ57:BJ65" si="99">B57</f>
        <v>0</v>
      </c>
      <c r="BK57" s="9">
        <f t="shared" ref="BK57:BK65" si="100">C57</f>
        <v>47500</v>
      </c>
      <c r="BL57" s="9">
        <f t="shared" ref="BL57:BL65" si="101">D57</f>
        <v>0</v>
      </c>
      <c r="BM57" s="9">
        <v>0</v>
      </c>
      <c r="BN57" s="9">
        <f t="shared" ref="BN57:BN65" si="102">F57</f>
        <v>0</v>
      </c>
      <c r="BO57" s="9">
        <f t="shared" ref="BO57:BO65" si="103">G57</f>
        <v>0</v>
      </c>
      <c r="BP57" s="9">
        <f t="shared" ref="BP57:BP65" si="104">H57</f>
        <v>0</v>
      </c>
      <c r="BQ57" s="9">
        <f t="shared" ref="BQ57:BQ65" si="105">I57</f>
        <v>0</v>
      </c>
      <c r="BR57" s="14">
        <f t="shared" ref="BR57:BR65" si="106">BF77</f>
        <v>550</v>
      </c>
      <c r="BS57" s="9">
        <f t="shared" ref="BS57:BS65" si="107">K57</f>
        <v>0</v>
      </c>
      <c r="BT57" s="9">
        <f t="shared" ref="BT57:BT65" si="108">L57</f>
        <v>0</v>
      </c>
      <c r="BU57" s="9">
        <f t="shared" ref="BU57:BU65" si="109">M57</f>
        <v>0</v>
      </c>
      <c r="BV57" s="9">
        <f t="shared" ref="BV57:BV65" si="110">N57</f>
        <v>0</v>
      </c>
      <c r="BW57" s="9">
        <f t="shared" ref="BW57:BW65" si="111">O57</f>
        <v>0</v>
      </c>
      <c r="CX57" s="1" t="s">
        <v>1</v>
      </c>
      <c r="CY57" s="9">
        <f t="array" ref="CY57:DL65">MMULT(BJ57:BW65, CY39:DL52)</f>
        <v>0</v>
      </c>
      <c r="CZ57" s="9">
        <v>50350</v>
      </c>
      <c r="DA57" s="9">
        <v>0</v>
      </c>
      <c r="DB57" s="9">
        <v>0</v>
      </c>
      <c r="DC57" s="9">
        <v>0</v>
      </c>
      <c r="DD57" s="9">
        <v>0</v>
      </c>
      <c r="DE57" s="9">
        <v>0</v>
      </c>
      <c r="DF57" s="9">
        <v>0</v>
      </c>
      <c r="DG57" s="9">
        <v>203.42386349999998</v>
      </c>
      <c r="DH57" s="9">
        <v>0</v>
      </c>
      <c r="DI57" s="9">
        <v>0</v>
      </c>
      <c r="DJ57" s="9">
        <v>0</v>
      </c>
      <c r="DK57" s="9">
        <v>0</v>
      </c>
      <c r="DL57" s="9">
        <v>0</v>
      </c>
      <c r="FF57" s="1" t="s">
        <v>1</v>
      </c>
      <c r="FG57" s="9">
        <f t="shared" ref="FG57:FG65" si="112">CY57</f>
        <v>0</v>
      </c>
      <c r="FH57" s="9">
        <f t="shared" ref="FH57:FH65" si="113">CZ57</f>
        <v>50350</v>
      </c>
      <c r="FI57" s="9">
        <f t="shared" ref="FI57:FI65" si="114">DA57</f>
        <v>0</v>
      </c>
      <c r="FJ57" s="15">
        <f t="shared" ref="FJ57:FJ65" si="115">FC77</f>
        <v>378.07613650000002</v>
      </c>
      <c r="FK57" s="9">
        <f t="shared" ref="FK57:FK65" si="116">DC57</f>
        <v>0</v>
      </c>
      <c r="FL57" s="9">
        <f t="shared" ref="FL57:FL65" si="117">DD57</f>
        <v>0</v>
      </c>
      <c r="FM57" s="9">
        <f t="shared" ref="FM57:FM65" si="118">DE57</f>
        <v>0</v>
      </c>
      <c r="FN57" s="9">
        <f t="shared" ref="FN57:FN65" si="119">DF57</f>
        <v>0</v>
      </c>
      <c r="FO57" s="9">
        <f t="shared" ref="FO57:FO65" si="120">DG57</f>
        <v>203.42386349999998</v>
      </c>
      <c r="FP57" s="9">
        <f t="shared" ref="FP57:FP65" si="121">DH57</f>
        <v>0</v>
      </c>
      <c r="FQ57" s="9">
        <f t="shared" ref="FQ57:FQ65" si="122">DI57</f>
        <v>0</v>
      </c>
      <c r="FR57" s="9">
        <f t="shared" ref="FR57:FR65" si="123">DJ57</f>
        <v>0</v>
      </c>
      <c r="FS57" s="9">
        <f t="shared" ref="FS57:FS65" si="124">DK57</f>
        <v>0</v>
      </c>
      <c r="FT57" s="9">
        <f t="shared" ref="FT57:FT65" si="125">DL57</f>
        <v>0</v>
      </c>
      <c r="GU57" s="1" t="s">
        <v>1</v>
      </c>
      <c r="GV57" s="13">
        <f>FG57-X_Final_2000!B56</f>
        <v>0</v>
      </c>
      <c r="GW57" s="13">
        <f>FH57-X_Final_2000!C56</f>
        <v>0</v>
      </c>
      <c r="GX57" s="13">
        <f>FI57-X_Final_2000!D56</f>
        <v>0</v>
      </c>
      <c r="GY57" s="13">
        <f>FJ57-X_Final_2000!E56</f>
        <v>0</v>
      </c>
      <c r="GZ57" s="13">
        <f>FK57-X_Final_2000!F56</f>
        <v>0</v>
      </c>
      <c r="HA57" s="13">
        <f>FL57-X_Final_2000!G56</f>
        <v>0</v>
      </c>
      <c r="HB57" s="13">
        <f>FM57-X_Final_2000!H56</f>
        <v>0</v>
      </c>
      <c r="HC57" s="13">
        <f>FN57-X_Final_2000!I56</f>
        <v>0</v>
      </c>
      <c r="HD57" s="13">
        <f>FO57-X_Final_2000!J56</f>
        <v>0</v>
      </c>
      <c r="HE57" s="13">
        <f>FP57-X_Final_2000!K56</f>
        <v>0</v>
      </c>
      <c r="HF57" s="13">
        <f>FQ57-X_Final_2000!L56</f>
        <v>0</v>
      </c>
      <c r="HG57" s="13">
        <f>FR57-X_Final_2000!M56</f>
        <v>0</v>
      </c>
      <c r="HH57" s="13">
        <f>FS57-X_Final_2000!N56</f>
        <v>0</v>
      </c>
      <c r="HI57" s="13">
        <f>FT57-X_Final_2000!O56</f>
        <v>0</v>
      </c>
    </row>
    <row r="58" spans="1:236" x14ac:dyDescent="0.2">
      <c r="A58" s="1" t="s">
        <v>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15500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BI58" s="1" t="s">
        <v>2</v>
      </c>
      <c r="BJ58" s="9">
        <f t="shared" si="99"/>
        <v>0</v>
      </c>
      <c r="BK58" s="9">
        <f t="shared" si="100"/>
        <v>0</v>
      </c>
      <c r="BL58" s="9">
        <f t="shared" si="101"/>
        <v>0</v>
      </c>
      <c r="BM58" s="9">
        <v>0</v>
      </c>
      <c r="BN58" s="9">
        <f t="shared" si="102"/>
        <v>0</v>
      </c>
      <c r="BO58" s="9">
        <f t="shared" si="103"/>
        <v>15500</v>
      </c>
      <c r="BP58" s="9">
        <f t="shared" si="104"/>
        <v>0</v>
      </c>
      <c r="BQ58" s="9">
        <f t="shared" si="105"/>
        <v>0</v>
      </c>
      <c r="BR58" s="14">
        <f t="shared" si="106"/>
        <v>350</v>
      </c>
      <c r="BS58" s="9">
        <f t="shared" si="107"/>
        <v>0</v>
      </c>
      <c r="BT58" s="9">
        <f t="shared" si="108"/>
        <v>0</v>
      </c>
      <c r="BU58" s="9">
        <f t="shared" si="109"/>
        <v>0</v>
      </c>
      <c r="BV58" s="9">
        <f t="shared" si="110"/>
        <v>0</v>
      </c>
      <c r="BW58" s="9">
        <f t="shared" si="111"/>
        <v>0</v>
      </c>
      <c r="CX58" s="1" t="s">
        <v>2</v>
      </c>
      <c r="CY58" s="9">
        <v>0</v>
      </c>
      <c r="CZ58" s="9">
        <v>0</v>
      </c>
      <c r="DA58" s="9">
        <v>0</v>
      </c>
      <c r="DB58" s="9">
        <v>0</v>
      </c>
      <c r="DC58" s="9">
        <v>0</v>
      </c>
      <c r="DD58" s="9">
        <v>16430</v>
      </c>
      <c r="DE58" s="9">
        <v>0</v>
      </c>
      <c r="DF58" s="9">
        <v>0</v>
      </c>
      <c r="DG58" s="9">
        <v>129.4515495</v>
      </c>
      <c r="DH58" s="9">
        <v>0</v>
      </c>
      <c r="DI58" s="9">
        <v>0</v>
      </c>
      <c r="DJ58" s="9">
        <v>0</v>
      </c>
      <c r="DK58" s="9">
        <v>0</v>
      </c>
      <c r="DL58" s="9">
        <v>0</v>
      </c>
      <c r="FF58" s="1" t="s">
        <v>2</v>
      </c>
      <c r="FG58" s="9">
        <f t="shared" si="112"/>
        <v>0</v>
      </c>
      <c r="FH58" s="9">
        <f t="shared" si="113"/>
        <v>0</v>
      </c>
      <c r="FI58" s="9">
        <f t="shared" si="114"/>
        <v>0</v>
      </c>
      <c r="FJ58" s="15">
        <f t="shared" si="115"/>
        <v>241.5484505</v>
      </c>
      <c r="FK58" s="9">
        <f t="shared" si="116"/>
        <v>0</v>
      </c>
      <c r="FL58" s="9">
        <f t="shared" si="117"/>
        <v>16430</v>
      </c>
      <c r="FM58" s="9">
        <f t="shared" si="118"/>
        <v>0</v>
      </c>
      <c r="FN58" s="9">
        <f t="shared" si="119"/>
        <v>0</v>
      </c>
      <c r="FO58" s="9">
        <f t="shared" si="120"/>
        <v>129.4515495</v>
      </c>
      <c r="FP58" s="9">
        <f t="shared" si="121"/>
        <v>0</v>
      </c>
      <c r="FQ58" s="9">
        <f t="shared" si="122"/>
        <v>0</v>
      </c>
      <c r="FR58" s="9">
        <f t="shared" si="123"/>
        <v>0</v>
      </c>
      <c r="FS58" s="9">
        <f t="shared" si="124"/>
        <v>0</v>
      </c>
      <c r="FT58" s="9">
        <f t="shared" si="125"/>
        <v>0</v>
      </c>
      <c r="GU58" s="1" t="s">
        <v>2</v>
      </c>
      <c r="GV58" s="13">
        <f>FG58-X_Final_2000!B57</f>
        <v>0</v>
      </c>
      <c r="GW58" s="13">
        <f>FH58-X_Final_2000!C57</f>
        <v>0</v>
      </c>
      <c r="GX58" s="13">
        <f>FI58-X_Final_2000!D57</f>
        <v>0</v>
      </c>
      <c r="GY58" s="13">
        <f>FJ58-X_Final_2000!E57</f>
        <v>0</v>
      </c>
      <c r="GZ58" s="13">
        <f>FK58-X_Final_2000!F57</f>
        <v>0</v>
      </c>
      <c r="HA58" s="13">
        <f>FL58-X_Final_2000!G57</f>
        <v>0</v>
      </c>
      <c r="HB58" s="13">
        <f>FM58-X_Final_2000!H57</f>
        <v>0</v>
      </c>
      <c r="HC58" s="13">
        <f>FN58-X_Final_2000!I57</f>
        <v>0</v>
      </c>
      <c r="HD58" s="13">
        <f>FO58-X_Final_2000!J57</f>
        <v>0</v>
      </c>
      <c r="HE58" s="13">
        <f>FP58-X_Final_2000!K57</f>
        <v>0</v>
      </c>
      <c r="HF58" s="13">
        <f>FQ58-X_Final_2000!L57</f>
        <v>0</v>
      </c>
      <c r="HG58" s="13">
        <f>FR58-X_Final_2000!M57</f>
        <v>0</v>
      </c>
      <c r="HH58" s="13">
        <f>FS58-X_Final_2000!N57</f>
        <v>0</v>
      </c>
      <c r="HI58" s="13">
        <f>FT58-X_Final_2000!O57</f>
        <v>0</v>
      </c>
    </row>
    <row r="59" spans="1:236" x14ac:dyDescent="0.2">
      <c r="A59" s="1" t="s">
        <v>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6275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BI59" s="1" t="s">
        <v>3</v>
      </c>
      <c r="BJ59" s="9">
        <f t="shared" si="99"/>
        <v>0</v>
      </c>
      <c r="BK59" s="9">
        <f t="shared" si="100"/>
        <v>0</v>
      </c>
      <c r="BL59" s="9">
        <f t="shared" si="101"/>
        <v>0</v>
      </c>
      <c r="BM59" s="9">
        <v>0</v>
      </c>
      <c r="BN59" s="9">
        <f t="shared" si="102"/>
        <v>0</v>
      </c>
      <c r="BO59" s="9">
        <f t="shared" si="103"/>
        <v>0</v>
      </c>
      <c r="BP59" s="9">
        <f t="shared" si="104"/>
        <v>0</v>
      </c>
      <c r="BQ59" s="9">
        <f t="shared" si="105"/>
        <v>6275</v>
      </c>
      <c r="BR59" s="14">
        <f t="shared" si="106"/>
        <v>125</v>
      </c>
      <c r="BS59" s="9">
        <f t="shared" si="107"/>
        <v>0</v>
      </c>
      <c r="BT59" s="9">
        <f t="shared" si="108"/>
        <v>0</v>
      </c>
      <c r="BU59" s="9">
        <f t="shared" si="109"/>
        <v>0</v>
      </c>
      <c r="BV59" s="9">
        <f t="shared" si="110"/>
        <v>0</v>
      </c>
      <c r="BW59" s="9">
        <f t="shared" si="111"/>
        <v>0</v>
      </c>
      <c r="CX59" s="1" t="s">
        <v>3</v>
      </c>
      <c r="CY59" s="9">
        <v>0</v>
      </c>
      <c r="CZ59" s="9">
        <v>0</v>
      </c>
      <c r="DA59" s="9">
        <v>0</v>
      </c>
      <c r="DB59" s="9">
        <v>0</v>
      </c>
      <c r="DC59" s="9">
        <v>0</v>
      </c>
      <c r="DD59" s="9">
        <v>0</v>
      </c>
      <c r="DE59" s="9">
        <v>0</v>
      </c>
      <c r="DF59" s="9">
        <v>6275</v>
      </c>
      <c r="DG59" s="9">
        <v>46.232696249999996</v>
      </c>
      <c r="DH59" s="9">
        <v>0</v>
      </c>
      <c r="DI59" s="9">
        <v>0</v>
      </c>
      <c r="DJ59" s="9">
        <v>0</v>
      </c>
      <c r="DK59" s="9">
        <v>0</v>
      </c>
      <c r="DL59" s="9">
        <v>0</v>
      </c>
      <c r="FF59" s="1" t="s">
        <v>3</v>
      </c>
      <c r="FG59" s="9">
        <f t="shared" si="112"/>
        <v>0</v>
      </c>
      <c r="FH59" s="9">
        <f t="shared" si="113"/>
        <v>0</v>
      </c>
      <c r="FI59" s="9">
        <f t="shared" si="114"/>
        <v>0</v>
      </c>
      <c r="FJ59" s="15">
        <f t="shared" si="115"/>
        <v>78.767303749999996</v>
      </c>
      <c r="FK59" s="9">
        <f t="shared" si="116"/>
        <v>0</v>
      </c>
      <c r="FL59" s="9">
        <f t="shared" si="117"/>
        <v>0</v>
      </c>
      <c r="FM59" s="9">
        <f t="shared" si="118"/>
        <v>0</v>
      </c>
      <c r="FN59" s="9">
        <f t="shared" si="119"/>
        <v>6275</v>
      </c>
      <c r="FO59" s="9">
        <f t="shared" si="120"/>
        <v>46.232696249999996</v>
      </c>
      <c r="FP59" s="9">
        <f t="shared" si="121"/>
        <v>0</v>
      </c>
      <c r="FQ59" s="9">
        <f t="shared" si="122"/>
        <v>0</v>
      </c>
      <c r="FR59" s="9">
        <f t="shared" si="123"/>
        <v>0</v>
      </c>
      <c r="FS59" s="9">
        <f t="shared" si="124"/>
        <v>0</v>
      </c>
      <c r="FT59" s="9">
        <f t="shared" si="125"/>
        <v>0</v>
      </c>
      <c r="GU59" s="1" t="s">
        <v>3</v>
      </c>
      <c r="GV59" s="13">
        <f>FG59-X_Final_2000!B58</f>
        <v>0</v>
      </c>
      <c r="GW59" s="13">
        <f>FH59-X_Final_2000!C58</f>
        <v>0</v>
      </c>
      <c r="GX59" s="13">
        <f>FI59-X_Final_2000!D58</f>
        <v>0</v>
      </c>
      <c r="GY59" s="13">
        <f>FJ59-X_Final_2000!E58</f>
        <v>0</v>
      </c>
      <c r="GZ59" s="13">
        <f>FK59-X_Final_2000!F58</f>
        <v>0</v>
      </c>
      <c r="HA59" s="13">
        <f>FL59-X_Final_2000!G58</f>
        <v>0</v>
      </c>
      <c r="HB59" s="13">
        <f>FM59-X_Final_2000!H58</f>
        <v>0</v>
      </c>
      <c r="HC59" s="13">
        <f>FN59-X_Final_2000!I58</f>
        <v>0</v>
      </c>
      <c r="HD59" s="13">
        <f>FO59-X_Final_2000!J58</f>
        <v>0</v>
      </c>
      <c r="HE59" s="13">
        <f>FP59-X_Final_2000!K58</f>
        <v>0</v>
      </c>
      <c r="HF59" s="13">
        <f>FQ59-X_Final_2000!L58</f>
        <v>0</v>
      </c>
      <c r="HG59" s="13">
        <f>FR59-X_Final_2000!M58</f>
        <v>0</v>
      </c>
      <c r="HH59" s="13">
        <f>FS59-X_Final_2000!N58</f>
        <v>0</v>
      </c>
      <c r="HI59" s="13">
        <f>FT59-X_Final_2000!O58</f>
        <v>0</v>
      </c>
    </row>
    <row r="60" spans="1:236" x14ac:dyDescent="0.2">
      <c r="A60" s="1" t="s">
        <v>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43000</v>
      </c>
      <c r="N60" s="5">
        <v>0</v>
      </c>
      <c r="O60" s="5">
        <v>0</v>
      </c>
      <c r="BI60" s="1" t="s">
        <v>4</v>
      </c>
      <c r="BJ60" s="9">
        <f t="shared" si="99"/>
        <v>0</v>
      </c>
      <c r="BK60" s="9">
        <f t="shared" si="100"/>
        <v>0</v>
      </c>
      <c r="BL60" s="9">
        <f t="shared" si="101"/>
        <v>0</v>
      </c>
      <c r="BM60" s="9">
        <v>0</v>
      </c>
      <c r="BN60" s="9">
        <f t="shared" si="102"/>
        <v>0</v>
      </c>
      <c r="BO60" s="9">
        <f t="shared" si="103"/>
        <v>0</v>
      </c>
      <c r="BP60" s="9">
        <f t="shared" si="104"/>
        <v>0</v>
      </c>
      <c r="BQ60" s="9">
        <f t="shared" si="105"/>
        <v>0</v>
      </c>
      <c r="BR60" s="14">
        <f t="shared" si="106"/>
        <v>2075</v>
      </c>
      <c r="BS60" s="9">
        <f t="shared" si="107"/>
        <v>0</v>
      </c>
      <c r="BT60" s="9">
        <f t="shared" si="108"/>
        <v>0</v>
      </c>
      <c r="BU60" s="9">
        <f t="shared" si="109"/>
        <v>43000</v>
      </c>
      <c r="BV60" s="9">
        <f t="shared" si="110"/>
        <v>0</v>
      </c>
      <c r="BW60" s="9">
        <f t="shared" si="111"/>
        <v>0</v>
      </c>
      <c r="CX60" s="1" t="s">
        <v>4</v>
      </c>
      <c r="CY60" s="9">
        <v>0</v>
      </c>
      <c r="CZ60" s="9">
        <v>0</v>
      </c>
      <c r="DA60" s="9">
        <v>0</v>
      </c>
      <c r="DB60" s="9">
        <v>0</v>
      </c>
      <c r="DC60" s="9">
        <v>0</v>
      </c>
      <c r="DD60" s="9">
        <v>0</v>
      </c>
      <c r="DE60" s="9">
        <v>0</v>
      </c>
      <c r="DF60" s="9">
        <v>0</v>
      </c>
      <c r="DG60" s="9">
        <v>767.46275774999992</v>
      </c>
      <c r="DH60" s="9">
        <v>0</v>
      </c>
      <c r="DI60" s="9">
        <v>0</v>
      </c>
      <c r="DJ60" s="9">
        <v>44720</v>
      </c>
      <c r="DK60" s="9">
        <v>0</v>
      </c>
      <c r="DL60" s="9">
        <v>0</v>
      </c>
      <c r="FF60" s="1" t="s">
        <v>4</v>
      </c>
      <c r="FG60" s="9">
        <f t="shared" si="112"/>
        <v>0</v>
      </c>
      <c r="FH60" s="9">
        <f t="shared" si="113"/>
        <v>0</v>
      </c>
      <c r="FI60" s="9">
        <f t="shared" si="114"/>
        <v>0</v>
      </c>
      <c r="FJ60" s="15">
        <f t="shared" si="115"/>
        <v>1390.5372422500004</v>
      </c>
      <c r="FK60" s="9">
        <f t="shared" si="116"/>
        <v>0</v>
      </c>
      <c r="FL60" s="9">
        <f t="shared" si="117"/>
        <v>0</v>
      </c>
      <c r="FM60" s="9">
        <f t="shared" si="118"/>
        <v>0</v>
      </c>
      <c r="FN60" s="9">
        <f t="shared" si="119"/>
        <v>0</v>
      </c>
      <c r="FO60" s="9">
        <f t="shared" si="120"/>
        <v>767.46275774999992</v>
      </c>
      <c r="FP60" s="9">
        <f t="shared" si="121"/>
        <v>0</v>
      </c>
      <c r="FQ60" s="9">
        <f t="shared" si="122"/>
        <v>0</v>
      </c>
      <c r="FR60" s="9">
        <f t="shared" si="123"/>
        <v>44720</v>
      </c>
      <c r="FS60" s="9">
        <f t="shared" si="124"/>
        <v>0</v>
      </c>
      <c r="FT60" s="9">
        <f t="shared" si="125"/>
        <v>0</v>
      </c>
      <c r="GU60" s="1" t="s">
        <v>4</v>
      </c>
      <c r="GV60" s="13">
        <f>FG60-X_Final_2000!B59</f>
        <v>0</v>
      </c>
      <c r="GW60" s="13">
        <f>FH60-X_Final_2000!C59</f>
        <v>0</v>
      </c>
      <c r="GX60" s="13">
        <f>FI60-X_Final_2000!D59</f>
        <v>0</v>
      </c>
      <c r="GY60" s="13">
        <f>FJ60-X_Final_2000!E59</f>
        <v>0</v>
      </c>
      <c r="GZ60" s="13">
        <f>FK60-X_Final_2000!F59</f>
        <v>0</v>
      </c>
      <c r="HA60" s="13">
        <f>FL60-X_Final_2000!G59</f>
        <v>0</v>
      </c>
      <c r="HB60" s="13">
        <f>FM60-X_Final_2000!H59</f>
        <v>0</v>
      </c>
      <c r="HC60" s="13">
        <f>FN60-X_Final_2000!I59</f>
        <v>0</v>
      </c>
      <c r="HD60" s="13">
        <f>FO60-X_Final_2000!J59</f>
        <v>0</v>
      </c>
      <c r="HE60" s="13">
        <f>FP60-X_Final_2000!K59</f>
        <v>0</v>
      </c>
      <c r="HF60" s="13">
        <f>FQ60-X_Final_2000!L59</f>
        <v>0</v>
      </c>
      <c r="HG60" s="13">
        <f>FR60-X_Final_2000!M59</f>
        <v>0</v>
      </c>
      <c r="HH60" s="13">
        <f>FS60-X_Final_2000!N59</f>
        <v>0</v>
      </c>
      <c r="HI60" s="13">
        <f>FT60-X_Final_2000!O59</f>
        <v>0</v>
      </c>
    </row>
    <row r="61" spans="1:236" x14ac:dyDescent="0.2">
      <c r="A61" s="1" t="s">
        <v>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41000</v>
      </c>
      <c r="M61" s="5">
        <v>0</v>
      </c>
      <c r="N61" s="5">
        <v>0</v>
      </c>
      <c r="O61" s="5">
        <v>0</v>
      </c>
      <c r="BI61" s="1" t="s">
        <v>5</v>
      </c>
      <c r="BJ61" s="9">
        <f t="shared" si="99"/>
        <v>0</v>
      </c>
      <c r="BK61" s="9">
        <f t="shared" si="100"/>
        <v>0</v>
      </c>
      <c r="BL61" s="9">
        <f t="shared" si="101"/>
        <v>0</v>
      </c>
      <c r="BM61" s="9">
        <v>0</v>
      </c>
      <c r="BN61" s="9">
        <f t="shared" si="102"/>
        <v>0</v>
      </c>
      <c r="BO61" s="9">
        <f t="shared" si="103"/>
        <v>0</v>
      </c>
      <c r="BP61" s="9">
        <f t="shared" si="104"/>
        <v>0</v>
      </c>
      <c r="BQ61" s="9">
        <f t="shared" si="105"/>
        <v>0</v>
      </c>
      <c r="BR61" s="14">
        <f t="shared" si="106"/>
        <v>50</v>
      </c>
      <c r="BS61" s="9">
        <f t="shared" si="107"/>
        <v>0</v>
      </c>
      <c r="BT61" s="9">
        <f t="shared" si="108"/>
        <v>41000</v>
      </c>
      <c r="BU61" s="9">
        <f t="shared" si="109"/>
        <v>0</v>
      </c>
      <c r="BV61" s="9">
        <f t="shared" si="110"/>
        <v>0</v>
      </c>
      <c r="BW61" s="9">
        <f t="shared" si="111"/>
        <v>0</v>
      </c>
      <c r="CX61" s="1" t="s">
        <v>5</v>
      </c>
      <c r="CY61" s="9">
        <v>0</v>
      </c>
      <c r="CZ61" s="9">
        <v>0</v>
      </c>
      <c r="DA61" s="9">
        <v>0</v>
      </c>
      <c r="DB61" s="9">
        <v>0</v>
      </c>
      <c r="DC61" s="9">
        <v>0</v>
      </c>
      <c r="DD61" s="9">
        <v>0</v>
      </c>
      <c r="DE61" s="9">
        <v>0</v>
      </c>
      <c r="DF61" s="9">
        <v>0</v>
      </c>
      <c r="DG61" s="9">
        <v>18.493078499999999</v>
      </c>
      <c r="DH61" s="9">
        <v>0</v>
      </c>
      <c r="DI61" s="9">
        <v>42640</v>
      </c>
      <c r="DJ61" s="9">
        <v>0</v>
      </c>
      <c r="DK61" s="9">
        <v>0</v>
      </c>
      <c r="DL61" s="9">
        <v>0</v>
      </c>
      <c r="FF61" s="1" t="s">
        <v>5</v>
      </c>
      <c r="FG61" s="9">
        <f t="shared" si="112"/>
        <v>0</v>
      </c>
      <c r="FH61" s="9">
        <f t="shared" si="113"/>
        <v>0</v>
      </c>
      <c r="FI61" s="9">
        <f t="shared" si="114"/>
        <v>0</v>
      </c>
      <c r="FJ61" s="15">
        <f t="shared" si="115"/>
        <v>33.006921499996679</v>
      </c>
      <c r="FK61" s="9">
        <f t="shared" si="116"/>
        <v>0</v>
      </c>
      <c r="FL61" s="9">
        <f t="shared" si="117"/>
        <v>0</v>
      </c>
      <c r="FM61" s="9">
        <f t="shared" si="118"/>
        <v>0</v>
      </c>
      <c r="FN61" s="9">
        <f t="shared" si="119"/>
        <v>0</v>
      </c>
      <c r="FO61" s="9">
        <f t="shared" si="120"/>
        <v>18.493078499999999</v>
      </c>
      <c r="FP61" s="9">
        <f t="shared" si="121"/>
        <v>0</v>
      </c>
      <c r="FQ61" s="9">
        <f t="shared" si="122"/>
        <v>42640</v>
      </c>
      <c r="FR61" s="9">
        <f t="shared" si="123"/>
        <v>0</v>
      </c>
      <c r="FS61" s="9">
        <f t="shared" si="124"/>
        <v>0</v>
      </c>
      <c r="FT61" s="9">
        <f t="shared" si="125"/>
        <v>0</v>
      </c>
      <c r="GU61" s="1" t="s">
        <v>5</v>
      </c>
      <c r="GV61" s="13">
        <f>FG61-X_Final_2000!B60</f>
        <v>0</v>
      </c>
      <c r="GW61" s="13">
        <f>FH61-X_Final_2000!C60</f>
        <v>0</v>
      </c>
      <c r="GX61" s="13">
        <f>FI61-X_Final_2000!D60</f>
        <v>0</v>
      </c>
      <c r="GY61" s="13">
        <f>FJ61-X_Final_2000!E60</f>
        <v>0</v>
      </c>
      <c r="GZ61" s="13">
        <f>FK61-X_Final_2000!F60</f>
        <v>0</v>
      </c>
      <c r="HA61" s="13">
        <f>FL61-X_Final_2000!G60</f>
        <v>0</v>
      </c>
      <c r="HB61" s="13">
        <f>FM61-X_Final_2000!H60</f>
        <v>0</v>
      </c>
      <c r="HC61" s="13">
        <f>FN61-X_Final_2000!I60</f>
        <v>0</v>
      </c>
      <c r="HD61" s="13">
        <f>FO61-X_Final_2000!J60</f>
        <v>0</v>
      </c>
      <c r="HE61" s="13">
        <f>FP61-X_Final_2000!K60</f>
        <v>0</v>
      </c>
      <c r="HF61" s="13">
        <f>FQ61-X_Final_2000!L60</f>
        <v>0</v>
      </c>
      <c r="HG61" s="13">
        <f>FR61-X_Final_2000!M60</f>
        <v>0</v>
      </c>
      <c r="HH61" s="13">
        <f>FS61-X_Final_2000!N60</f>
        <v>0</v>
      </c>
      <c r="HI61" s="13">
        <f>FT61-X_Final_2000!O60</f>
        <v>0</v>
      </c>
    </row>
    <row r="62" spans="1:236" x14ac:dyDescent="0.2">
      <c r="A62" s="1" t="s">
        <v>6</v>
      </c>
      <c r="B62" s="5">
        <v>0</v>
      </c>
      <c r="C62" s="5">
        <v>0</v>
      </c>
      <c r="D62" s="5">
        <v>50000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BI62" s="1" t="s">
        <v>6</v>
      </c>
      <c r="BJ62" s="9">
        <f t="shared" si="99"/>
        <v>0</v>
      </c>
      <c r="BK62" s="9">
        <f t="shared" si="100"/>
        <v>0</v>
      </c>
      <c r="BL62" s="9">
        <f t="shared" si="101"/>
        <v>50000</v>
      </c>
      <c r="BM62" s="9">
        <v>0</v>
      </c>
      <c r="BN62" s="9">
        <f t="shared" si="102"/>
        <v>0</v>
      </c>
      <c r="BO62" s="9">
        <f t="shared" si="103"/>
        <v>0</v>
      </c>
      <c r="BP62" s="9">
        <f t="shared" si="104"/>
        <v>0</v>
      </c>
      <c r="BQ62" s="9">
        <f t="shared" si="105"/>
        <v>0</v>
      </c>
      <c r="BR62" s="14">
        <f t="shared" si="106"/>
        <v>2575</v>
      </c>
      <c r="BS62" s="9">
        <f t="shared" si="107"/>
        <v>0</v>
      </c>
      <c r="BT62" s="9">
        <f t="shared" si="108"/>
        <v>0</v>
      </c>
      <c r="BU62" s="9">
        <f t="shared" si="109"/>
        <v>0</v>
      </c>
      <c r="BV62" s="9">
        <f t="shared" si="110"/>
        <v>0</v>
      </c>
      <c r="BW62" s="9">
        <f t="shared" si="111"/>
        <v>0</v>
      </c>
      <c r="CX62" s="1" t="s">
        <v>6</v>
      </c>
      <c r="CY62" s="9">
        <v>0</v>
      </c>
      <c r="CZ62" s="9">
        <v>0</v>
      </c>
      <c r="DA62" s="9">
        <v>53000</v>
      </c>
      <c r="DB62" s="9">
        <v>0</v>
      </c>
      <c r="DC62" s="9">
        <v>0</v>
      </c>
      <c r="DD62" s="9">
        <v>0</v>
      </c>
      <c r="DE62" s="9">
        <v>0</v>
      </c>
      <c r="DF62" s="9">
        <v>0</v>
      </c>
      <c r="DG62" s="9">
        <v>952.39354274999994</v>
      </c>
      <c r="DH62" s="9">
        <v>0</v>
      </c>
      <c r="DI62" s="9">
        <v>0</v>
      </c>
      <c r="DJ62" s="9">
        <v>0</v>
      </c>
      <c r="DK62" s="9">
        <v>0</v>
      </c>
      <c r="DL62" s="9">
        <v>0</v>
      </c>
      <c r="FF62" s="1" t="s">
        <v>6</v>
      </c>
      <c r="FG62" s="9">
        <f t="shared" si="112"/>
        <v>0</v>
      </c>
      <c r="FH62" s="9">
        <f t="shared" si="113"/>
        <v>0</v>
      </c>
      <c r="FI62" s="9">
        <f t="shared" si="114"/>
        <v>53000</v>
      </c>
      <c r="FJ62" s="15">
        <f t="shared" si="115"/>
        <v>1775.6064572499999</v>
      </c>
      <c r="FK62" s="9">
        <f t="shared" si="116"/>
        <v>0</v>
      </c>
      <c r="FL62" s="9">
        <f t="shared" si="117"/>
        <v>0</v>
      </c>
      <c r="FM62" s="9">
        <f t="shared" si="118"/>
        <v>0</v>
      </c>
      <c r="FN62" s="9">
        <f t="shared" si="119"/>
        <v>0</v>
      </c>
      <c r="FO62" s="9">
        <f t="shared" si="120"/>
        <v>952.39354274999994</v>
      </c>
      <c r="FP62" s="9">
        <f t="shared" si="121"/>
        <v>0</v>
      </c>
      <c r="FQ62" s="9">
        <f t="shared" si="122"/>
        <v>0</v>
      </c>
      <c r="FR62" s="9">
        <f t="shared" si="123"/>
        <v>0</v>
      </c>
      <c r="FS62" s="9">
        <f t="shared" si="124"/>
        <v>0</v>
      </c>
      <c r="FT62" s="9">
        <f t="shared" si="125"/>
        <v>0</v>
      </c>
      <c r="GU62" s="1" t="s">
        <v>6</v>
      </c>
      <c r="GV62" s="13">
        <f>FG62-X_Final_2000!B61</f>
        <v>0</v>
      </c>
      <c r="GW62" s="13">
        <f>FH62-X_Final_2000!C61</f>
        <v>0</v>
      </c>
      <c r="GX62" s="13">
        <f>FI62-X_Final_2000!D61</f>
        <v>0</v>
      </c>
      <c r="GY62" s="13">
        <f>FJ62-X_Final_2000!E61</f>
        <v>0</v>
      </c>
      <c r="GZ62" s="13">
        <f>FK62-X_Final_2000!F61</f>
        <v>0</v>
      </c>
      <c r="HA62" s="13">
        <f>FL62-X_Final_2000!G61</f>
        <v>0</v>
      </c>
      <c r="HB62" s="13">
        <f>FM62-X_Final_2000!H61</f>
        <v>0</v>
      </c>
      <c r="HC62" s="13">
        <f>FN62-X_Final_2000!I61</f>
        <v>0</v>
      </c>
      <c r="HD62" s="13">
        <f>FO62-X_Final_2000!J61</f>
        <v>0</v>
      </c>
      <c r="HE62" s="13">
        <f>FP62-X_Final_2000!K61</f>
        <v>0</v>
      </c>
      <c r="HF62" s="13">
        <f>FQ62-X_Final_2000!L61</f>
        <v>0</v>
      </c>
      <c r="HG62" s="13">
        <f>FR62-X_Final_2000!M61</f>
        <v>0</v>
      </c>
      <c r="HH62" s="13">
        <f>FS62-X_Final_2000!N61</f>
        <v>0</v>
      </c>
      <c r="HI62" s="13">
        <f>FT62-X_Final_2000!O61</f>
        <v>0</v>
      </c>
    </row>
    <row r="63" spans="1:236" x14ac:dyDescent="0.2">
      <c r="A63" s="1" t="s">
        <v>7</v>
      </c>
      <c r="B63" s="5">
        <v>0</v>
      </c>
      <c r="C63" s="5">
        <v>0</v>
      </c>
      <c r="D63" s="5">
        <v>0</v>
      </c>
      <c r="E63" s="5">
        <v>0</v>
      </c>
      <c r="F63" s="5">
        <v>20500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26500</v>
      </c>
      <c r="O63" s="5">
        <v>0</v>
      </c>
      <c r="BI63" s="1" t="s">
        <v>7</v>
      </c>
      <c r="BJ63" s="9">
        <f t="shared" si="99"/>
        <v>0</v>
      </c>
      <c r="BK63" s="9">
        <f t="shared" si="100"/>
        <v>0</v>
      </c>
      <c r="BL63" s="9">
        <f t="shared" si="101"/>
        <v>0</v>
      </c>
      <c r="BM63" s="9">
        <v>0</v>
      </c>
      <c r="BN63" s="9">
        <f t="shared" si="102"/>
        <v>20500</v>
      </c>
      <c r="BO63" s="9">
        <f t="shared" si="103"/>
        <v>0</v>
      </c>
      <c r="BP63" s="9">
        <f t="shared" si="104"/>
        <v>0</v>
      </c>
      <c r="BQ63" s="9">
        <f t="shared" si="105"/>
        <v>0</v>
      </c>
      <c r="BR63" s="14">
        <f t="shared" si="106"/>
        <v>5075</v>
      </c>
      <c r="BS63" s="9">
        <f t="shared" si="107"/>
        <v>0</v>
      </c>
      <c r="BT63" s="9">
        <f t="shared" si="108"/>
        <v>0</v>
      </c>
      <c r="BU63" s="9">
        <f t="shared" si="109"/>
        <v>0</v>
      </c>
      <c r="BV63" s="9">
        <f t="shared" si="110"/>
        <v>26500</v>
      </c>
      <c r="BW63" s="9">
        <f t="shared" si="111"/>
        <v>0</v>
      </c>
      <c r="CX63" s="1" t="s">
        <v>7</v>
      </c>
      <c r="CY63" s="9">
        <v>0</v>
      </c>
      <c r="CZ63" s="9">
        <v>0</v>
      </c>
      <c r="DA63" s="9">
        <v>0</v>
      </c>
      <c r="DB63" s="9">
        <v>0</v>
      </c>
      <c r="DC63" s="9">
        <v>21730</v>
      </c>
      <c r="DD63" s="9">
        <v>0</v>
      </c>
      <c r="DE63" s="9">
        <v>0</v>
      </c>
      <c r="DF63" s="9">
        <v>0</v>
      </c>
      <c r="DG63" s="9">
        <v>1877.0474677499999</v>
      </c>
      <c r="DH63" s="9">
        <v>0</v>
      </c>
      <c r="DI63" s="9">
        <v>0</v>
      </c>
      <c r="DJ63" s="9">
        <v>0</v>
      </c>
      <c r="DK63" s="9">
        <v>28090</v>
      </c>
      <c r="DL63" s="9">
        <v>0</v>
      </c>
      <c r="FF63" s="1" t="s">
        <v>7</v>
      </c>
      <c r="FG63" s="9">
        <f t="shared" si="112"/>
        <v>0</v>
      </c>
      <c r="FH63" s="9">
        <f t="shared" si="113"/>
        <v>0</v>
      </c>
      <c r="FI63" s="9">
        <f t="shared" si="114"/>
        <v>0</v>
      </c>
      <c r="FJ63" s="15">
        <f t="shared" si="115"/>
        <v>3497.9525322500012</v>
      </c>
      <c r="FK63" s="9">
        <f t="shared" si="116"/>
        <v>21730</v>
      </c>
      <c r="FL63" s="9">
        <f t="shared" si="117"/>
        <v>0</v>
      </c>
      <c r="FM63" s="9">
        <f t="shared" si="118"/>
        <v>0</v>
      </c>
      <c r="FN63" s="9">
        <f t="shared" si="119"/>
        <v>0</v>
      </c>
      <c r="FO63" s="9">
        <f t="shared" si="120"/>
        <v>1877.0474677499999</v>
      </c>
      <c r="FP63" s="9">
        <f t="shared" si="121"/>
        <v>0</v>
      </c>
      <c r="FQ63" s="9">
        <f t="shared" si="122"/>
        <v>0</v>
      </c>
      <c r="FR63" s="9">
        <f t="shared" si="123"/>
        <v>0</v>
      </c>
      <c r="FS63" s="9">
        <f t="shared" si="124"/>
        <v>28090</v>
      </c>
      <c r="FT63" s="9">
        <f t="shared" si="125"/>
        <v>0</v>
      </c>
      <c r="GU63" s="1" t="s">
        <v>7</v>
      </c>
      <c r="GV63" s="13">
        <f>FG63-X_Final_2000!B62</f>
        <v>0</v>
      </c>
      <c r="GW63" s="13">
        <f>FH63-X_Final_2000!C62</f>
        <v>0</v>
      </c>
      <c r="GX63" s="13">
        <f>FI63-X_Final_2000!D62</f>
        <v>0</v>
      </c>
      <c r="GY63" s="13">
        <f>FJ63-X_Final_2000!E62</f>
        <v>0</v>
      </c>
      <c r="GZ63" s="13">
        <f>FK63-X_Final_2000!F62</f>
        <v>0</v>
      </c>
      <c r="HA63" s="13">
        <f>FL63-X_Final_2000!G62</f>
        <v>0</v>
      </c>
      <c r="HB63" s="13">
        <f>FM63-X_Final_2000!H62</f>
        <v>0</v>
      </c>
      <c r="HC63" s="13">
        <f>FN63-X_Final_2000!I62</f>
        <v>0</v>
      </c>
      <c r="HD63" s="13">
        <f>FO63-X_Final_2000!J62</f>
        <v>0</v>
      </c>
      <c r="HE63" s="13">
        <f>FP63-X_Final_2000!K62</f>
        <v>0</v>
      </c>
      <c r="HF63" s="13">
        <f>FQ63-X_Final_2000!L62</f>
        <v>0</v>
      </c>
      <c r="HG63" s="13">
        <f>FR63-X_Final_2000!M62</f>
        <v>0</v>
      </c>
      <c r="HH63" s="13">
        <f>FS63-X_Final_2000!N62</f>
        <v>0</v>
      </c>
      <c r="HI63" s="13">
        <f>FT63-X_Final_2000!O62</f>
        <v>0</v>
      </c>
    </row>
    <row r="64" spans="1:236" x14ac:dyDescent="0.2">
      <c r="A64" s="1" t="s">
        <v>8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26500</v>
      </c>
      <c r="BI64" s="1" t="s">
        <v>8</v>
      </c>
      <c r="BJ64" s="9">
        <f t="shared" si="99"/>
        <v>0</v>
      </c>
      <c r="BK64" s="9">
        <f t="shared" si="100"/>
        <v>0</v>
      </c>
      <c r="BL64" s="9">
        <f t="shared" si="101"/>
        <v>0</v>
      </c>
      <c r="BM64" s="9">
        <v>0</v>
      </c>
      <c r="BN64" s="9">
        <f t="shared" si="102"/>
        <v>0</v>
      </c>
      <c r="BO64" s="9">
        <f t="shared" si="103"/>
        <v>0</v>
      </c>
      <c r="BP64" s="9">
        <f t="shared" si="104"/>
        <v>0</v>
      </c>
      <c r="BQ64" s="9">
        <f t="shared" si="105"/>
        <v>0</v>
      </c>
      <c r="BR64" s="14">
        <f t="shared" si="106"/>
        <v>750</v>
      </c>
      <c r="BS64" s="9">
        <f t="shared" si="107"/>
        <v>0</v>
      </c>
      <c r="BT64" s="9">
        <f t="shared" si="108"/>
        <v>0</v>
      </c>
      <c r="BU64" s="9">
        <f t="shared" si="109"/>
        <v>0</v>
      </c>
      <c r="BV64" s="9">
        <f t="shared" si="110"/>
        <v>0</v>
      </c>
      <c r="BW64" s="9">
        <f t="shared" si="111"/>
        <v>26500</v>
      </c>
      <c r="CX64" s="1" t="s">
        <v>8</v>
      </c>
      <c r="CY64" s="9">
        <v>0</v>
      </c>
      <c r="CZ64" s="9">
        <v>0</v>
      </c>
      <c r="DA64" s="9">
        <v>0</v>
      </c>
      <c r="DB64" s="9">
        <v>0</v>
      </c>
      <c r="DC64" s="9">
        <v>0</v>
      </c>
      <c r="DD64" s="9">
        <v>0</v>
      </c>
      <c r="DE64" s="9">
        <v>0</v>
      </c>
      <c r="DF64" s="9">
        <v>0</v>
      </c>
      <c r="DG64" s="9">
        <v>277.39617749999996</v>
      </c>
      <c r="DH64" s="9">
        <v>0</v>
      </c>
      <c r="DI64" s="9">
        <v>0</v>
      </c>
      <c r="DJ64" s="9">
        <v>0</v>
      </c>
      <c r="DK64" s="9">
        <v>0</v>
      </c>
      <c r="DL64" s="9">
        <v>28090</v>
      </c>
      <c r="FF64" s="1" t="s">
        <v>8</v>
      </c>
      <c r="FG64" s="9">
        <f t="shared" si="112"/>
        <v>0</v>
      </c>
      <c r="FH64" s="9">
        <f t="shared" si="113"/>
        <v>0</v>
      </c>
      <c r="FI64" s="9">
        <f t="shared" si="114"/>
        <v>0</v>
      </c>
      <c r="FJ64" s="15">
        <f t="shared" si="115"/>
        <v>517.60382250000112</v>
      </c>
      <c r="FK64" s="9">
        <f t="shared" si="116"/>
        <v>0</v>
      </c>
      <c r="FL64" s="9">
        <f t="shared" si="117"/>
        <v>0</v>
      </c>
      <c r="FM64" s="9">
        <f t="shared" si="118"/>
        <v>0</v>
      </c>
      <c r="FN64" s="9">
        <f t="shared" si="119"/>
        <v>0</v>
      </c>
      <c r="FO64" s="9">
        <f t="shared" si="120"/>
        <v>277.39617749999996</v>
      </c>
      <c r="FP64" s="9">
        <f t="shared" si="121"/>
        <v>0</v>
      </c>
      <c r="FQ64" s="9">
        <f t="shared" si="122"/>
        <v>0</v>
      </c>
      <c r="FR64" s="9">
        <f t="shared" si="123"/>
        <v>0</v>
      </c>
      <c r="FS64" s="9">
        <f t="shared" si="124"/>
        <v>0</v>
      </c>
      <c r="FT64" s="9">
        <f t="shared" si="125"/>
        <v>28090</v>
      </c>
      <c r="GU64" s="1" t="s">
        <v>8</v>
      </c>
      <c r="GV64" s="13">
        <f>FG64-X_Final_2000!B63</f>
        <v>0</v>
      </c>
      <c r="GW64" s="13">
        <f>FH64-X_Final_2000!C63</f>
        <v>0</v>
      </c>
      <c r="GX64" s="13">
        <f>FI64-X_Final_2000!D63</f>
        <v>0</v>
      </c>
      <c r="GY64" s="13">
        <f>FJ64-X_Final_2000!E63</f>
        <v>0</v>
      </c>
      <c r="GZ64" s="13">
        <f>FK64-X_Final_2000!F63</f>
        <v>0</v>
      </c>
      <c r="HA64" s="13">
        <f>FL64-X_Final_2000!G63</f>
        <v>0</v>
      </c>
      <c r="HB64" s="13">
        <f>FM64-X_Final_2000!H63</f>
        <v>0</v>
      </c>
      <c r="HC64" s="13">
        <f>FN64-X_Final_2000!I63</f>
        <v>0</v>
      </c>
      <c r="HD64" s="13">
        <f>FO64-X_Final_2000!J63</f>
        <v>0</v>
      </c>
      <c r="HE64" s="13">
        <f>FP64-X_Final_2000!K63</f>
        <v>0</v>
      </c>
      <c r="HF64" s="13">
        <f>FQ64-X_Final_2000!L63</f>
        <v>0</v>
      </c>
      <c r="HG64" s="13">
        <f>FR64-X_Final_2000!M63</f>
        <v>0</v>
      </c>
      <c r="HH64" s="13">
        <f>FS64-X_Final_2000!N63</f>
        <v>0</v>
      </c>
      <c r="HI64" s="13">
        <f>FT64-X_Final_2000!O63</f>
        <v>0</v>
      </c>
    </row>
    <row r="65" spans="1:217" x14ac:dyDescent="0.2">
      <c r="A65" s="1" t="s">
        <v>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6400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BI65" s="1" t="s">
        <v>9</v>
      </c>
      <c r="BJ65" s="9">
        <f t="shared" si="99"/>
        <v>0</v>
      </c>
      <c r="BK65" s="9">
        <f t="shared" si="100"/>
        <v>0</v>
      </c>
      <c r="BL65" s="9">
        <f t="shared" si="101"/>
        <v>0</v>
      </c>
      <c r="BM65" s="9">
        <v>0</v>
      </c>
      <c r="BN65" s="9">
        <f t="shared" si="102"/>
        <v>0</v>
      </c>
      <c r="BO65" s="9">
        <f t="shared" si="103"/>
        <v>0</v>
      </c>
      <c r="BP65" s="9">
        <f t="shared" si="104"/>
        <v>6400</v>
      </c>
      <c r="BQ65" s="9">
        <f t="shared" si="105"/>
        <v>0</v>
      </c>
      <c r="BR65" s="14">
        <f t="shared" si="106"/>
        <v>9700</v>
      </c>
      <c r="BS65" s="9">
        <f t="shared" si="107"/>
        <v>0</v>
      </c>
      <c r="BT65" s="9">
        <f t="shared" si="108"/>
        <v>0</v>
      </c>
      <c r="BU65" s="9">
        <f t="shared" si="109"/>
        <v>0</v>
      </c>
      <c r="BV65" s="9">
        <f t="shared" si="110"/>
        <v>0</v>
      </c>
      <c r="BW65" s="9">
        <f t="shared" si="111"/>
        <v>0</v>
      </c>
      <c r="CX65" s="1" t="s">
        <v>9</v>
      </c>
      <c r="CY65" s="9">
        <v>0</v>
      </c>
      <c r="CZ65" s="9">
        <v>0</v>
      </c>
      <c r="DA65" s="9">
        <v>0</v>
      </c>
      <c r="DB65" s="9">
        <v>0</v>
      </c>
      <c r="DC65" s="9">
        <v>0</v>
      </c>
      <c r="DD65" s="9">
        <v>0</v>
      </c>
      <c r="DE65" s="9">
        <v>6400</v>
      </c>
      <c r="DF65" s="9">
        <v>0</v>
      </c>
      <c r="DG65" s="9">
        <v>3587.6572289999999</v>
      </c>
      <c r="DH65" s="9">
        <v>0</v>
      </c>
      <c r="DI65" s="9">
        <v>0</v>
      </c>
      <c r="DJ65" s="9">
        <v>0</v>
      </c>
      <c r="DK65" s="9">
        <v>0</v>
      </c>
      <c r="DL65" s="9">
        <v>0</v>
      </c>
      <c r="FF65" s="1" t="s">
        <v>9</v>
      </c>
      <c r="FG65" s="9">
        <f t="shared" si="112"/>
        <v>0</v>
      </c>
      <c r="FH65" s="9">
        <f t="shared" si="113"/>
        <v>0</v>
      </c>
      <c r="FI65" s="9">
        <f t="shared" si="114"/>
        <v>0</v>
      </c>
      <c r="FJ65" s="15">
        <f t="shared" si="115"/>
        <v>6752.3427709999996</v>
      </c>
      <c r="FK65" s="9">
        <f t="shared" si="116"/>
        <v>0</v>
      </c>
      <c r="FL65" s="9">
        <f t="shared" si="117"/>
        <v>0</v>
      </c>
      <c r="FM65" s="9">
        <f t="shared" si="118"/>
        <v>6400</v>
      </c>
      <c r="FN65" s="9">
        <f t="shared" si="119"/>
        <v>0</v>
      </c>
      <c r="FO65" s="9">
        <f t="shared" si="120"/>
        <v>3587.6572289999999</v>
      </c>
      <c r="FP65" s="9">
        <f t="shared" si="121"/>
        <v>0</v>
      </c>
      <c r="FQ65" s="9">
        <f t="shared" si="122"/>
        <v>0</v>
      </c>
      <c r="FR65" s="9">
        <f t="shared" si="123"/>
        <v>0</v>
      </c>
      <c r="FS65" s="9">
        <f t="shared" si="124"/>
        <v>0</v>
      </c>
      <c r="FT65" s="9">
        <f t="shared" si="125"/>
        <v>0</v>
      </c>
      <c r="GU65" s="1" t="s">
        <v>9</v>
      </c>
      <c r="GV65" s="13">
        <f>FG65-X_Final_2000!B64</f>
        <v>0</v>
      </c>
      <c r="GW65" s="13">
        <f>FH65-X_Final_2000!C64</f>
        <v>0</v>
      </c>
      <c r="GX65" s="13">
        <f>FI65-X_Final_2000!D64</f>
        <v>0</v>
      </c>
      <c r="GY65" s="13">
        <f>FJ65-X_Final_2000!E64</f>
        <v>0</v>
      </c>
      <c r="GZ65" s="13">
        <f>FK65-X_Final_2000!F64</f>
        <v>0</v>
      </c>
      <c r="HA65" s="13">
        <f>FL65-X_Final_2000!G64</f>
        <v>0</v>
      </c>
      <c r="HB65" s="13">
        <f>FM65-X_Final_2000!H64</f>
        <v>0</v>
      </c>
      <c r="HC65" s="13">
        <f>FN65-X_Final_2000!I64</f>
        <v>0</v>
      </c>
      <c r="HD65" s="13">
        <f>FO65-X_Final_2000!J64</f>
        <v>0</v>
      </c>
      <c r="HE65" s="13">
        <f>FP65-X_Final_2000!K64</f>
        <v>0</v>
      </c>
      <c r="HF65" s="13">
        <f>FQ65-X_Final_2000!L64</f>
        <v>0</v>
      </c>
      <c r="HG65" s="13">
        <f>FR65-X_Final_2000!M64</f>
        <v>0</v>
      </c>
      <c r="HH65" s="13">
        <f>FS65-X_Final_2000!N64</f>
        <v>0</v>
      </c>
      <c r="HI65" s="13">
        <f>FT65-X_Final_2000!O64</f>
        <v>0</v>
      </c>
    </row>
    <row r="66" spans="1:217" x14ac:dyDescent="0.2">
      <c r="B66" s="17" t="s">
        <v>30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BG66" s="12"/>
      <c r="BH66" s="12"/>
      <c r="BI66" s="7"/>
      <c r="BJ66" s="17" t="s">
        <v>30</v>
      </c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7"/>
      <c r="CY66" s="17" t="s">
        <v>30</v>
      </c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FG66" s="17" t="s">
        <v>30</v>
      </c>
      <c r="FH66" s="17"/>
      <c r="FI66" s="17"/>
      <c r="FJ66" s="17"/>
      <c r="FK66" s="17"/>
      <c r="FL66" s="17"/>
      <c r="FM66" s="17"/>
      <c r="FN66" s="17"/>
      <c r="FO66" s="17"/>
      <c r="FP66" s="17"/>
      <c r="FQ66" s="17"/>
      <c r="FR66" s="17"/>
      <c r="FS66" s="17"/>
      <c r="FT66" s="17"/>
      <c r="GV66" s="17" t="s">
        <v>56</v>
      </c>
      <c r="GW66" s="17"/>
      <c r="GX66" s="17"/>
      <c r="GY66" s="17"/>
      <c r="GZ66" s="17"/>
      <c r="HA66" s="17"/>
      <c r="HB66" s="17"/>
      <c r="HC66" s="17"/>
      <c r="HD66" s="17"/>
      <c r="HE66" s="17"/>
      <c r="HF66" s="17"/>
      <c r="HG66" s="17"/>
      <c r="HH66" s="17"/>
      <c r="HI66" s="17"/>
    </row>
    <row r="67" spans="1:217" x14ac:dyDescent="0.2">
      <c r="BJ67" s="20" t="s">
        <v>41</v>
      </c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CY67" s="20" t="s">
        <v>49</v>
      </c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FG67" s="20" t="s">
        <v>54</v>
      </c>
      <c r="FH67" s="20"/>
      <c r="FI67" s="20"/>
      <c r="FJ67" s="20"/>
      <c r="FK67" s="20"/>
      <c r="FL67" s="20"/>
      <c r="FM67" s="20"/>
      <c r="FN67" s="20"/>
      <c r="FO67" s="20"/>
      <c r="FP67" s="20"/>
      <c r="FQ67" s="20"/>
      <c r="FR67" s="20"/>
      <c r="FS67" s="20"/>
      <c r="FT67" s="20"/>
    </row>
    <row r="69" spans="1:217" ht="172" x14ac:dyDescent="0.2">
      <c r="B69" s="2" t="s">
        <v>10</v>
      </c>
      <c r="C69" s="2" t="s">
        <v>11</v>
      </c>
      <c r="D69" s="2" t="s">
        <v>12</v>
      </c>
      <c r="E69" s="2" t="s">
        <v>34</v>
      </c>
      <c r="F69" s="2" t="s">
        <v>13</v>
      </c>
      <c r="G69" s="2" t="s">
        <v>14</v>
      </c>
      <c r="H69" s="2" t="s">
        <v>15</v>
      </c>
      <c r="I69" s="2" t="s">
        <v>16</v>
      </c>
      <c r="J69" s="2" t="s">
        <v>35</v>
      </c>
      <c r="K69" s="2" t="s">
        <v>17</v>
      </c>
      <c r="L69" s="2" t="s">
        <v>18</v>
      </c>
      <c r="M69" s="2" t="s">
        <v>19</v>
      </c>
      <c r="N69" s="2" t="s">
        <v>20</v>
      </c>
      <c r="O69" s="2" t="s">
        <v>21</v>
      </c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J69" s="2" t="str">
        <f>BJ56</f>
        <v>Crude</v>
      </c>
      <c r="BK69" s="2" t="str">
        <f t="shared" ref="BK69:BW69" si="126">BK56</f>
        <v>Crude [from Dist.]</v>
      </c>
      <c r="BL69" s="2" t="str">
        <f t="shared" si="126"/>
        <v>Crude [from Fields]</v>
      </c>
      <c r="BM69" s="2" t="s">
        <v>34</v>
      </c>
      <c r="BN69" s="2" t="str">
        <f t="shared" si="126"/>
        <v>Diesel</v>
      </c>
      <c r="BO69" s="2" t="str">
        <f t="shared" si="126"/>
        <v>Diesel [from Dist.]</v>
      </c>
      <c r="BP69" s="2" t="str">
        <f t="shared" si="126"/>
        <v>Elect</v>
      </c>
      <c r="BQ69" s="2" t="str">
        <f t="shared" si="126"/>
        <v>Elect [from Grid]</v>
      </c>
      <c r="BR69" s="2" t="str">
        <f t="shared" si="126"/>
        <v>MTH.200.C -&gt; Transformation losses</v>
      </c>
      <c r="BS69" s="2" t="str">
        <f t="shared" si="126"/>
        <v>NG</v>
      </c>
      <c r="BT69" s="2" t="str">
        <f t="shared" si="126"/>
        <v>NG [from Dist.]</v>
      </c>
      <c r="BU69" s="2" t="str">
        <f t="shared" si="126"/>
        <v>NG [from Wells]</v>
      </c>
      <c r="BV69" s="2" t="str">
        <f t="shared" si="126"/>
        <v>Petrol</v>
      </c>
      <c r="BW69" s="2" t="str">
        <f t="shared" si="126"/>
        <v>Petrol [from Dist.]</v>
      </c>
      <c r="CY69" s="2" t="s">
        <v>10</v>
      </c>
      <c r="CZ69" s="2" t="s">
        <v>11</v>
      </c>
      <c r="DA69" s="2" t="s">
        <v>12</v>
      </c>
      <c r="DB69" s="2" t="s">
        <v>34</v>
      </c>
      <c r="DC69" s="2" t="s">
        <v>13</v>
      </c>
      <c r="DD69" s="2" t="s">
        <v>14</v>
      </c>
      <c r="DE69" s="2" t="s">
        <v>15</v>
      </c>
      <c r="DF69" s="2" t="s">
        <v>16</v>
      </c>
      <c r="DG69" s="2" t="s">
        <v>35</v>
      </c>
      <c r="DH69" s="2" t="s">
        <v>17</v>
      </c>
      <c r="DI69" s="2" t="s">
        <v>18</v>
      </c>
      <c r="DJ69" s="2" t="s">
        <v>19</v>
      </c>
      <c r="DK69" s="2" t="s">
        <v>20</v>
      </c>
      <c r="DL69" s="2" t="s">
        <v>21</v>
      </c>
      <c r="FG69" s="2" t="s">
        <v>10</v>
      </c>
      <c r="FH69" s="2" t="s">
        <v>11</v>
      </c>
      <c r="FI69" s="2" t="s">
        <v>12</v>
      </c>
      <c r="FJ69" s="2" t="s">
        <v>34</v>
      </c>
      <c r="FK69" s="2" t="s">
        <v>13</v>
      </c>
      <c r="FL69" s="2" t="s">
        <v>14</v>
      </c>
      <c r="FM69" s="2" t="s">
        <v>15</v>
      </c>
      <c r="FN69" s="2" t="s">
        <v>16</v>
      </c>
      <c r="FO69" s="2" t="s">
        <v>35</v>
      </c>
      <c r="FP69" s="2" t="s">
        <v>17</v>
      </c>
      <c r="FQ69" s="2" t="s">
        <v>18</v>
      </c>
      <c r="FR69" s="2" t="s">
        <v>19</v>
      </c>
      <c r="FS69" s="2" t="s">
        <v>20</v>
      </c>
      <c r="FT69" s="2" t="s">
        <v>21</v>
      </c>
      <c r="GV69" s="2" t="s">
        <v>10</v>
      </c>
      <c r="GW69" s="2" t="s">
        <v>11</v>
      </c>
      <c r="GX69" s="2" t="s">
        <v>12</v>
      </c>
      <c r="GY69" s="2" t="s">
        <v>34</v>
      </c>
      <c r="GZ69" s="2" t="s">
        <v>13</v>
      </c>
      <c r="HA69" s="2" t="s">
        <v>14</v>
      </c>
      <c r="HB69" s="2" t="s">
        <v>15</v>
      </c>
      <c r="HC69" s="2" t="s">
        <v>16</v>
      </c>
      <c r="HD69" s="2" t="s">
        <v>35</v>
      </c>
      <c r="HE69" s="2" t="s">
        <v>17</v>
      </c>
      <c r="HF69" s="2" t="s">
        <v>18</v>
      </c>
      <c r="HG69" s="2" t="s">
        <v>19</v>
      </c>
      <c r="HH69" s="2" t="s">
        <v>20</v>
      </c>
      <c r="HI69" s="2" t="s">
        <v>21</v>
      </c>
    </row>
    <row r="70" spans="1:217" x14ac:dyDescent="0.2">
      <c r="A70" s="1" t="s">
        <v>31</v>
      </c>
      <c r="B70" s="3">
        <v>50000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BI70" s="1" t="s">
        <v>31</v>
      </c>
      <c r="BJ70" s="9">
        <f t="shared" ref="BJ70:BL71" si="127">B70</f>
        <v>50000</v>
      </c>
      <c r="BK70" s="9">
        <f t="shared" si="127"/>
        <v>0</v>
      </c>
      <c r="BL70" s="9">
        <f t="shared" si="127"/>
        <v>0</v>
      </c>
      <c r="BM70" s="9">
        <v>0</v>
      </c>
      <c r="BN70" s="9">
        <f t="shared" ref="BN70:BQ71" si="128">F70</f>
        <v>0</v>
      </c>
      <c r="BO70" s="9">
        <f t="shared" si="128"/>
        <v>0</v>
      </c>
      <c r="BP70" s="9">
        <f t="shared" si="128"/>
        <v>0</v>
      </c>
      <c r="BQ70" s="9">
        <f t="shared" si="128"/>
        <v>0</v>
      </c>
      <c r="BR70" s="9">
        <v>0</v>
      </c>
      <c r="BS70" s="9">
        <f t="shared" ref="BS70:BW71" si="129">K70</f>
        <v>0</v>
      </c>
      <c r="BT70" s="9">
        <f t="shared" si="129"/>
        <v>0</v>
      </c>
      <c r="BU70" s="9">
        <f t="shared" si="129"/>
        <v>0</v>
      </c>
      <c r="BV70" s="9">
        <f t="shared" si="129"/>
        <v>0</v>
      </c>
      <c r="BW70" s="9">
        <f t="shared" si="129"/>
        <v>0</v>
      </c>
      <c r="CX70" s="1" t="s">
        <v>31</v>
      </c>
      <c r="CY70" s="9">
        <f t="array" ref="CY70:DL71">MMULT(BJ70:BW71, CY39:DL52)</f>
        <v>53000</v>
      </c>
      <c r="CZ70" s="9">
        <v>0</v>
      </c>
      <c r="DA70" s="9">
        <v>0</v>
      </c>
      <c r="DB70" s="9">
        <v>0</v>
      </c>
      <c r="DC70" s="9">
        <v>0</v>
      </c>
      <c r="DD70" s="9">
        <v>0</v>
      </c>
      <c r="DE70" s="9">
        <v>0</v>
      </c>
      <c r="DF70" s="9">
        <v>0</v>
      </c>
      <c r="DG70" s="9">
        <v>0</v>
      </c>
      <c r="DH70" s="9">
        <v>0</v>
      </c>
      <c r="DI70" s="9">
        <v>0</v>
      </c>
      <c r="DJ70" s="9">
        <v>0</v>
      </c>
      <c r="DK70" s="9">
        <v>0</v>
      </c>
      <c r="DL70" s="9">
        <v>0</v>
      </c>
      <c r="FF70" s="1" t="s">
        <v>31</v>
      </c>
      <c r="FG70" s="9">
        <f t="shared" ref="FG70:FT71" si="130">CY70</f>
        <v>53000</v>
      </c>
      <c r="FH70" s="9">
        <f t="shared" si="130"/>
        <v>0</v>
      </c>
      <c r="FI70" s="9">
        <f t="shared" si="130"/>
        <v>0</v>
      </c>
      <c r="FJ70" s="9">
        <f t="shared" si="130"/>
        <v>0</v>
      </c>
      <c r="FK70" s="9">
        <f t="shared" si="130"/>
        <v>0</v>
      </c>
      <c r="FL70" s="9">
        <f t="shared" si="130"/>
        <v>0</v>
      </c>
      <c r="FM70" s="9">
        <f t="shared" si="130"/>
        <v>0</v>
      </c>
      <c r="FN70" s="9">
        <f t="shared" si="130"/>
        <v>0</v>
      </c>
      <c r="FO70" s="9">
        <f t="shared" si="130"/>
        <v>0</v>
      </c>
      <c r="FP70" s="9">
        <f t="shared" si="130"/>
        <v>0</v>
      </c>
      <c r="FQ70" s="9">
        <f t="shared" si="130"/>
        <v>0</v>
      </c>
      <c r="FR70" s="9">
        <f t="shared" si="130"/>
        <v>0</v>
      </c>
      <c r="FS70" s="9">
        <f t="shared" si="130"/>
        <v>0</v>
      </c>
      <c r="FT70" s="9">
        <f t="shared" si="130"/>
        <v>0</v>
      </c>
      <c r="GU70" s="1" t="s">
        <v>31</v>
      </c>
      <c r="GV70" s="13">
        <f>FG70-X_Final_2000!B69</f>
        <v>0</v>
      </c>
      <c r="GW70" s="13">
        <f>FH70-X_Final_2000!C69</f>
        <v>0</v>
      </c>
      <c r="GX70" s="13">
        <f>FI70-X_Final_2000!D69</f>
        <v>0</v>
      </c>
      <c r="GY70" s="13">
        <f>FJ70-X_Final_2000!E69</f>
        <v>0</v>
      </c>
      <c r="GZ70" s="13">
        <f>FK70-X_Final_2000!F69</f>
        <v>0</v>
      </c>
      <c r="HA70" s="13">
        <f>FL70-X_Final_2000!G69</f>
        <v>0</v>
      </c>
      <c r="HB70" s="13">
        <f>FM70-X_Final_2000!H69</f>
        <v>0</v>
      </c>
      <c r="HC70" s="13">
        <f>FN70-X_Final_2000!I69</f>
        <v>0</v>
      </c>
      <c r="HD70" s="13">
        <f>FO70-X_Final_2000!J69</f>
        <v>0</v>
      </c>
      <c r="HE70" s="13">
        <f>FP70-X_Final_2000!K69</f>
        <v>0</v>
      </c>
      <c r="HF70" s="13">
        <f>FQ70-X_Final_2000!L69</f>
        <v>0</v>
      </c>
      <c r="HG70" s="13">
        <f>FR70-X_Final_2000!M69</f>
        <v>0</v>
      </c>
      <c r="HH70" s="13">
        <f>FS70-X_Final_2000!N69</f>
        <v>0</v>
      </c>
      <c r="HI70" s="13">
        <f>FT70-X_Final_2000!O69</f>
        <v>0</v>
      </c>
    </row>
    <row r="71" spans="1:217" x14ac:dyDescent="0.2">
      <c r="A71" s="1" t="s">
        <v>32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43000</v>
      </c>
      <c r="L71" s="3">
        <v>0</v>
      </c>
      <c r="M71" s="3">
        <v>0</v>
      </c>
      <c r="N71" s="3">
        <v>0</v>
      </c>
      <c r="O71" s="3">
        <v>0</v>
      </c>
      <c r="BI71" s="1" t="s">
        <v>32</v>
      </c>
      <c r="BJ71" s="9">
        <f t="shared" si="127"/>
        <v>0</v>
      </c>
      <c r="BK71" s="9">
        <f t="shared" si="127"/>
        <v>0</v>
      </c>
      <c r="BL71" s="9">
        <f t="shared" si="127"/>
        <v>0</v>
      </c>
      <c r="BM71" s="9">
        <v>0</v>
      </c>
      <c r="BN71" s="9">
        <f t="shared" si="128"/>
        <v>0</v>
      </c>
      <c r="BO71" s="9">
        <f t="shared" si="128"/>
        <v>0</v>
      </c>
      <c r="BP71" s="9">
        <f t="shared" si="128"/>
        <v>0</v>
      </c>
      <c r="BQ71" s="9">
        <f t="shared" si="128"/>
        <v>0</v>
      </c>
      <c r="BR71" s="9">
        <v>0</v>
      </c>
      <c r="BS71" s="9">
        <f t="shared" si="129"/>
        <v>43000</v>
      </c>
      <c r="BT71" s="9">
        <f t="shared" si="129"/>
        <v>0</v>
      </c>
      <c r="BU71" s="9">
        <f t="shared" si="129"/>
        <v>0</v>
      </c>
      <c r="BV71" s="9">
        <f t="shared" si="129"/>
        <v>0</v>
      </c>
      <c r="BW71" s="9">
        <f t="shared" si="129"/>
        <v>0</v>
      </c>
      <c r="CX71" s="1" t="s">
        <v>32</v>
      </c>
      <c r="CY71" s="9">
        <v>0</v>
      </c>
      <c r="CZ71" s="9">
        <v>0</v>
      </c>
      <c r="DA71" s="9">
        <v>0</v>
      </c>
      <c r="DB71" s="9">
        <v>0</v>
      </c>
      <c r="DC71" s="9">
        <v>0</v>
      </c>
      <c r="DD71" s="9">
        <v>0</v>
      </c>
      <c r="DE71" s="9">
        <v>0</v>
      </c>
      <c r="DF71" s="9">
        <v>0</v>
      </c>
      <c r="DG71" s="9">
        <v>0</v>
      </c>
      <c r="DH71" s="9">
        <v>44720</v>
      </c>
      <c r="DI71" s="9">
        <v>0</v>
      </c>
      <c r="DJ71" s="9">
        <v>0</v>
      </c>
      <c r="DK71" s="9">
        <v>0</v>
      </c>
      <c r="DL71" s="9">
        <v>0</v>
      </c>
      <c r="FF71" s="1" t="s">
        <v>32</v>
      </c>
      <c r="FG71" s="9">
        <f t="shared" si="130"/>
        <v>0</v>
      </c>
      <c r="FH71" s="9">
        <f t="shared" si="130"/>
        <v>0</v>
      </c>
      <c r="FI71" s="9">
        <f t="shared" si="130"/>
        <v>0</v>
      </c>
      <c r="FJ71" s="9">
        <f t="shared" si="130"/>
        <v>0</v>
      </c>
      <c r="FK71" s="9">
        <f t="shared" si="130"/>
        <v>0</v>
      </c>
      <c r="FL71" s="9">
        <f t="shared" si="130"/>
        <v>0</v>
      </c>
      <c r="FM71" s="9">
        <f t="shared" si="130"/>
        <v>0</v>
      </c>
      <c r="FN71" s="9">
        <f t="shared" si="130"/>
        <v>0</v>
      </c>
      <c r="FO71" s="9">
        <f t="shared" si="130"/>
        <v>0</v>
      </c>
      <c r="FP71" s="9">
        <f t="shared" si="130"/>
        <v>44720</v>
      </c>
      <c r="FQ71" s="9">
        <f t="shared" si="130"/>
        <v>0</v>
      </c>
      <c r="FR71" s="9">
        <f t="shared" si="130"/>
        <v>0</v>
      </c>
      <c r="FS71" s="9">
        <f t="shared" si="130"/>
        <v>0</v>
      </c>
      <c r="FT71" s="9">
        <f t="shared" si="130"/>
        <v>0</v>
      </c>
      <c r="GU71" s="1" t="s">
        <v>32</v>
      </c>
      <c r="GV71" s="13">
        <f>FG71-X_Final_2000!B70</f>
        <v>0</v>
      </c>
      <c r="GW71" s="13">
        <f>FH71-X_Final_2000!C70</f>
        <v>0</v>
      </c>
      <c r="GX71" s="13">
        <f>FI71-X_Final_2000!D70</f>
        <v>0</v>
      </c>
      <c r="GY71" s="13">
        <f>FJ71-X_Final_2000!E70</f>
        <v>0</v>
      </c>
      <c r="GZ71" s="13">
        <f>FK71-X_Final_2000!F70</f>
        <v>0</v>
      </c>
      <c r="HA71" s="13">
        <f>FL71-X_Final_2000!G70</f>
        <v>0</v>
      </c>
      <c r="HB71" s="13">
        <f>FM71-X_Final_2000!H70</f>
        <v>0</v>
      </c>
      <c r="HC71" s="13">
        <f>FN71-X_Final_2000!I70</f>
        <v>0</v>
      </c>
      <c r="HD71" s="13">
        <f>FO71-X_Final_2000!J70</f>
        <v>0</v>
      </c>
      <c r="HE71" s="13">
        <f>FP71-X_Final_2000!K70</f>
        <v>0</v>
      </c>
      <c r="HF71" s="13">
        <f>FQ71-X_Final_2000!L70</f>
        <v>0</v>
      </c>
      <c r="HG71" s="13">
        <f>FR71-X_Final_2000!M70</f>
        <v>0</v>
      </c>
      <c r="HH71" s="13">
        <f>FS71-X_Final_2000!N70</f>
        <v>0</v>
      </c>
      <c r="HI71" s="13">
        <f>FT71-X_Final_2000!O70</f>
        <v>0</v>
      </c>
    </row>
    <row r="72" spans="1:217" x14ac:dyDescent="0.2">
      <c r="B72" s="17" t="s">
        <v>33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BJ72" s="17" t="s">
        <v>33</v>
      </c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CY72" s="17" t="s">
        <v>33</v>
      </c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FG72" s="17" t="s">
        <v>33</v>
      </c>
      <c r="FH72" s="17"/>
      <c r="FI72" s="17"/>
      <c r="FJ72" s="17"/>
      <c r="FK72" s="17"/>
      <c r="FL72" s="17"/>
      <c r="FM72" s="17"/>
      <c r="FN72" s="17"/>
      <c r="FO72" s="17"/>
      <c r="FP72" s="17"/>
      <c r="FQ72" s="17"/>
      <c r="FR72" s="17"/>
      <c r="FS72" s="17"/>
      <c r="FT72" s="17"/>
      <c r="GV72" s="17" t="s">
        <v>55</v>
      </c>
      <c r="GW72" s="17"/>
      <c r="GX72" s="17"/>
      <c r="GY72" s="17"/>
      <c r="GZ72" s="17"/>
      <c r="HA72" s="17"/>
      <c r="HB72" s="17"/>
      <c r="HC72" s="17"/>
      <c r="HD72" s="17"/>
      <c r="HE72" s="17"/>
      <c r="HF72" s="17"/>
      <c r="HG72" s="17"/>
      <c r="HH72" s="17"/>
      <c r="HI72" s="17"/>
    </row>
    <row r="73" spans="1:217" x14ac:dyDescent="0.2">
      <c r="BJ73" s="20" t="s">
        <v>42</v>
      </c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CY73" s="20" t="s">
        <v>49</v>
      </c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FG73" s="20" t="s">
        <v>42</v>
      </c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  <c r="FT73" s="20"/>
    </row>
    <row r="76" spans="1:217" ht="172" x14ac:dyDescent="0.2">
      <c r="AQ76" s="2" t="s">
        <v>10</v>
      </c>
      <c r="AR76" s="2" t="s">
        <v>11</v>
      </c>
      <c r="AS76" s="2" t="s">
        <v>12</v>
      </c>
      <c r="AT76" s="2" t="s">
        <v>34</v>
      </c>
      <c r="AU76" s="2" t="s">
        <v>13</v>
      </c>
      <c r="AV76" s="2" t="s">
        <v>14</v>
      </c>
      <c r="AW76" s="2" t="s">
        <v>15</v>
      </c>
      <c r="AX76" s="2" t="s">
        <v>16</v>
      </c>
      <c r="AY76" s="2" t="s">
        <v>35</v>
      </c>
      <c r="AZ76" s="2" t="s">
        <v>17</v>
      </c>
      <c r="BA76" s="2" t="s">
        <v>18</v>
      </c>
      <c r="BB76" s="2" t="s">
        <v>19</v>
      </c>
      <c r="BC76" s="2" t="s">
        <v>20</v>
      </c>
      <c r="BD76" s="2" t="s">
        <v>21</v>
      </c>
      <c r="BJ76" s="2" t="s">
        <v>10</v>
      </c>
      <c r="BK76" s="2" t="s">
        <v>11</v>
      </c>
      <c r="BL76" s="2" t="s">
        <v>12</v>
      </c>
      <c r="BM76" s="2" t="s">
        <v>34</v>
      </c>
      <c r="BN76" s="2" t="s">
        <v>13</v>
      </c>
      <c r="BO76" s="2" t="s">
        <v>14</v>
      </c>
      <c r="BP76" s="2" t="s">
        <v>15</v>
      </c>
      <c r="BQ76" s="2" t="s">
        <v>16</v>
      </c>
      <c r="BR76" s="2" t="s">
        <v>35</v>
      </c>
      <c r="BS76" s="2" t="s">
        <v>17</v>
      </c>
      <c r="BT76" s="2" t="s">
        <v>18</v>
      </c>
      <c r="BU76" s="2" t="s">
        <v>19</v>
      </c>
      <c r="BV76" s="2" t="s">
        <v>20</v>
      </c>
      <c r="BW76" s="2" t="s">
        <v>21</v>
      </c>
      <c r="EN76" s="2" t="s">
        <v>10</v>
      </c>
      <c r="EO76" s="2" t="s">
        <v>11</v>
      </c>
      <c r="EP76" s="2" t="s">
        <v>12</v>
      </c>
      <c r="EQ76" s="2" t="s">
        <v>34</v>
      </c>
      <c r="ER76" s="2" t="s">
        <v>13</v>
      </c>
      <c r="ES76" s="2" t="s">
        <v>14</v>
      </c>
      <c r="ET76" s="2" t="s">
        <v>15</v>
      </c>
      <c r="EU76" s="2" t="s">
        <v>16</v>
      </c>
      <c r="EV76" s="2" t="s">
        <v>35</v>
      </c>
      <c r="EW76" s="2" t="s">
        <v>17</v>
      </c>
      <c r="EX76" s="2" t="s">
        <v>18</v>
      </c>
      <c r="EY76" s="2" t="s">
        <v>19</v>
      </c>
      <c r="EZ76" s="2" t="s">
        <v>20</v>
      </c>
      <c r="FA76" s="2" t="s">
        <v>21</v>
      </c>
      <c r="FC76" s="2"/>
      <c r="FG76" s="2" t="s">
        <v>10</v>
      </c>
      <c r="FH76" s="2" t="s">
        <v>11</v>
      </c>
      <c r="FI76" s="2" t="s">
        <v>12</v>
      </c>
      <c r="FJ76" s="2" t="s">
        <v>34</v>
      </c>
      <c r="FK76" s="2" t="s">
        <v>13</v>
      </c>
      <c r="FL76" s="2" t="s">
        <v>14</v>
      </c>
      <c r="FM76" s="2" t="s">
        <v>15</v>
      </c>
      <c r="FN76" s="2" t="s">
        <v>16</v>
      </c>
      <c r="FO76" s="2" t="s">
        <v>35</v>
      </c>
      <c r="FP76" s="2" t="s">
        <v>17</v>
      </c>
      <c r="FQ76" s="2" t="s">
        <v>18</v>
      </c>
      <c r="FR76" s="2" t="s">
        <v>19</v>
      </c>
      <c r="FS76" s="2" t="s">
        <v>20</v>
      </c>
      <c r="FT76" s="2" t="s">
        <v>21</v>
      </c>
      <c r="FV76" s="2"/>
    </row>
    <row r="77" spans="1:217" x14ac:dyDescent="0.2">
      <c r="AP77" s="1" t="s">
        <v>1</v>
      </c>
      <c r="AQ77" s="9" cm="1">
        <f t="array" ref="AQ77:BD85">TRANSPOSE(S39:AA52) - B57:O65</f>
        <v>0</v>
      </c>
      <c r="AR77" s="9">
        <v>-47000</v>
      </c>
      <c r="AS77" s="9">
        <v>47500</v>
      </c>
      <c r="AT77" s="9">
        <v>0</v>
      </c>
      <c r="AU77" s="9">
        <v>0</v>
      </c>
      <c r="AV77" s="9">
        <v>25</v>
      </c>
      <c r="AW77" s="9">
        <v>0</v>
      </c>
      <c r="AX77" s="9">
        <v>25</v>
      </c>
      <c r="AY77" s="9">
        <v>0</v>
      </c>
      <c r="AZ77" s="9">
        <v>0</v>
      </c>
      <c r="BA77" s="9">
        <v>0</v>
      </c>
      <c r="BB77" s="9">
        <v>0</v>
      </c>
      <c r="BC77" s="9">
        <v>0</v>
      </c>
      <c r="BD77" s="9">
        <v>0</v>
      </c>
      <c r="BF77" s="14">
        <f>SUM(AQ77:BD77)</f>
        <v>550</v>
      </c>
      <c r="BI77" s="1" t="s">
        <v>1</v>
      </c>
      <c r="BJ77" s="9" cm="1">
        <f t="array" ref="BJ77:BW85">TRANSPOSE(CA39:CI52)-BJ57:BW65</f>
        <v>0</v>
      </c>
      <c r="BK77" s="9">
        <v>-47000</v>
      </c>
      <c r="BL77" s="9">
        <v>47500</v>
      </c>
      <c r="BM77" s="9">
        <v>0</v>
      </c>
      <c r="BN77" s="9">
        <v>0</v>
      </c>
      <c r="BO77" s="9">
        <v>25</v>
      </c>
      <c r="BP77" s="9">
        <v>0</v>
      </c>
      <c r="BQ77" s="9">
        <v>25</v>
      </c>
      <c r="BR77" s="9">
        <v>-550</v>
      </c>
      <c r="BS77" s="9">
        <v>0</v>
      </c>
      <c r="BT77" s="9">
        <v>0</v>
      </c>
      <c r="BU77" s="9">
        <v>0</v>
      </c>
      <c r="BV77" s="9">
        <v>0</v>
      </c>
      <c r="BW77" s="9">
        <v>0</v>
      </c>
      <c r="BY77" s="13">
        <f>SUM(BJ77:BW77)</f>
        <v>0</v>
      </c>
      <c r="EM77" s="1" t="s">
        <v>1</v>
      </c>
      <c r="EN77" s="9" cm="1">
        <f t="array" ref="EN77:FA85">TRANSPOSE(DP39:DX52) - CY57:DL65</f>
        <v>0</v>
      </c>
      <c r="EO77" s="9">
        <v>-49820</v>
      </c>
      <c r="EP77" s="9">
        <v>50350</v>
      </c>
      <c r="EQ77" s="9">
        <v>0</v>
      </c>
      <c r="ER77" s="9">
        <v>0</v>
      </c>
      <c r="ES77" s="9">
        <v>26.5</v>
      </c>
      <c r="ET77" s="9">
        <v>0</v>
      </c>
      <c r="EU77" s="9">
        <v>25</v>
      </c>
      <c r="EV77" s="9">
        <v>-203.42386349999998</v>
      </c>
      <c r="EW77" s="9">
        <v>0</v>
      </c>
      <c r="EX77" s="9">
        <v>0</v>
      </c>
      <c r="EY77" s="9">
        <v>0</v>
      </c>
      <c r="EZ77" s="9">
        <v>0</v>
      </c>
      <c r="FA77" s="9">
        <v>0</v>
      </c>
      <c r="FC77" s="15">
        <f>SUM(EN77:FA77)</f>
        <v>378.07613650000002</v>
      </c>
      <c r="FF77" s="1" t="s">
        <v>1</v>
      </c>
      <c r="FG77" s="9" cm="1">
        <f t="array" ref="FG77:FT85">TRANSPOSE(FX39:GF52) - FG57:FT65</f>
        <v>0</v>
      </c>
      <c r="FH77" s="9">
        <v>-49820</v>
      </c>
      <c r="FI77" s="9">
        <v>50350</v>
      </c>
      <c r="FJ77" s="9">
        <v>-378.07613650000002</v>
      </c>
      <c r="FK77" s="9">
        <v>0</v>
      </c>
      <c r="FL77" s="9">
        <v>26.5</v>
      </c>
      <c r="FM77" s="9">
        <v>0</v>
      </c>
      <c r="FN77" s="9">
        <v>25</v>
      </c>
      <c r="FO77" s="9">
        <v>-203.42386349999998</v>
      </c>
      <c r="FP77" s="9">
        <v>0</v>
      </c>
      <c r="FQ77" s="9">
        <v>0</v>
      </c>
      <c r="FR77" s="9">
        <v>0</v>
      </c>
      <c r="FS77" s="9">
        <v>0</v>
      </c>
      <c r="FT77" s="9">
        <v>0</v>
      </c>
      <c r="FV77" s="13">
        <f>SUM(FG77:FT77)</f>
        <v>0</v>
      </c>
    </row>
    <row r="78" spans="1:217" x14ac:dyDescent="0.2">
      <c r="AP78" s="1" t="s">
        <v>2</v>
      </c>
      <c r="AQ78" s="9">
        <v>0</v>
      </c>
      <c r="AR78" s="9">
        <v>0</v>
      </c>
      <c r="AS78" s="9">
        <v>0</v>
      </c>
      <c r="AT78" s="9">
        <v>0</v>
      </c>
      <c r="AU78" s="9">
        <v>15500</v>
      </c>
      <c r="AV78" s="9">
        <v>-15150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0</v>
      </c>
      <c r="BC78" s="9">
        <v>0</v>
      </c>
      <c r="BD78" s="9">
        <v>0</v>
      </c>
      <c r="BF78" s="14">
        <f t="shared" ref="BF78:BF85" si="131">SUM(AQ78:BD78)</f>
        <v>350</v>
      </c>
      <c r="BI78" s="1" t="s">
        <v>2</v>
      </c>
      <c r="BJ78" s="9">
        <v>0</v>
      </c>
      <c r="BK78" s="9">
        <v>0</v>
      </c>
      <c r="BL78" s="9">
        <v>0</v>
      </c>
      <c r="BM78" s="9">
        <v>0</v>
      </c>
      <c r="BN78" s="9">
        <v>15500</v>
      </c>
      <c r="BO78" s="9">
        <v>-15150</v>
      </c>
      <c r="BP78" s="9">
        <v>0</v>
      </c>
      <c r="BQ78" s="9">
        <v>0</v>
      </c>
      <c r="BR78" s="9">
        <v>-350</v>
      </c>
      <c r="BS78" s="9">
        <v>0</v>
      </c>
      <c r="BT78" s="9">
        <v>0</v>
      </c>
      <c r="BU78" s="9">
        <v>0</v>
      </c>
      <c r="BV78" s="9">
        <v>0</v>
      </c>
      <c r="BW78" s="9">
        <v>0</v>
      </c>
      <c r="BY78" s="13">
        <f t="shared" ref="BY78:BY85" si="132">SUM(BJ78:BW78)</f>
        <v>0</v>
      </c>
      <c r="EM78" s="1" t="s">
        <v>2</v>
      </c>
      <c r="EN78" s="9">
        <v>0</v>
      </c>
      <c r="EO78" s="9">
        <v>0</v>
      </c>
      <c r="EP78" s="9">
        <v>0</v>
      </c>
      <c r="EQ78" s="9">
        <v>0</v>
      </c>
      <c r="ER78" s="9">
        <v>16430</v>
      </c>
      <c r="ES78" s="9">
        <v>-16059</v>
      </c>
      <c r="ET78" s="9">
        <v>0</v>
      </c>
      <c r="EU78" s="9">
        <v>0</v>
      </c>
      <c r="EV78" s="9">
        <v>-129.4515495</v>
      </c>
      <c r="EW78" s="9">
        <v>0</v>
      </c>
      <c r="EX78" s="9">
        <v>0</v>
      </c>
      <c r="EY78" s="9">
        <v>0</v>
      </c>
      <c r="EZ78" s="9">
        <v>0</v>
      </c>
      <c r="FA78" s="9">
        <v>0</v>
      </c>
      <c r="FC78" s="15">
        <f t="shared" ref="FC78:FC85" si="133">SUM(EN78:FA78)</f>
        <v>241.5484505</v>
      </c>
      <c r="FF78" s="1" t="s">
        <v>2</v>
      </c>
      <c r="FG78" s="9">
        <v>0</v>
      </c>
      <c r="FH78" s="9">
        <v>0</v>
      </c>
      <c r="FI78" s="9">
        <v>0</v>
      </c>
      <c r="FJ78" s="9">
        <v>-241.5484505</v>
      </c>
      <c r="FK78" s="9">
        <v>16430</v>
      </c>
      <c r="FL78" s="9">
        <v>-16059</v>
      </c>
      <c r="FM78" s="9">
        <v>0</v>
      </c>
      <c r="FN78" s="9">
        <v>0</v>
      </c>
      <c r="FO78" s="9">
        <v>-129.4515495</v>
      </c>
      <c r="FP78" s="9">
        <v>0</v>
      </c>
      <c r="FQ78" s="9">
        <v>0</v>
      </c>
      <c r="FR78" s="9">
        <v>0</v>
      </c>
      <c r="FS78" s="9">
        <v>0</v>
      </c>
      <c r="FT78" s="9">
        <v>0</v>
      </c>
      <c r="FV78" s="13">
        <f t="shared" ref="FV78:FV85" si="134">SUM(FG78:FT78)</f>
        <v>-3.979039320256561E-13</v>
      </c>
    </row>
    <row r="79" spans="1:217" x14ac:dyDescent="0.2">
      <c r="AP79" s="1" t="s">
        <v>3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6400</v>
      </c>
      <c r="AX79" s="9">
        <v>-6275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F79" s="14">
        <f t="shared" si="131"/>
        <v>125</v>
      </c>
      <c r="BI79" s="1" t="s">
        <v>3</v>
      </c>
      <c r="BJ79" s="9">
        <v>0</v>
      </c>
      <c r="BK79" s="9">
        <v>0</v>
      </c>
      <c r="BL79" s="9">
        <v>0</v>
      </c>
      <c r="BM79" s="9">
        <v>0</v>
      </c>
      <c r="BN79" s="9">
        <v>0</v>
      </c>
      <c r="BO79" s="9">
        <v>0</v>
      </c>
      <c r="BP79" s="9">
        <v>6400</v>
      </c>
      <c r="BQ79" s="9">
        <v>-6275</v>
      </c>
      <c r="BR79" s="9">
        <v>-125</v>
      </c>
      <c r="BS79" s="9">
        <v>0</v>
      </c>
      <c r="BT79" s="9">
        <v>0</v>
      </c>
      <c r="BU79" s="9">
        <v>0</v>
      </c>
      <c r="BV79" s="9">
        <v>0</v>
      </c>
      <c r="BW79" s="9">
        <v>0</v>
      </c>
      <c r="BY79" s="13">
        <f t="shared" si="132"/>
        <v>0</v>
      </c>
      <c r="EM79" s="1" t="s">
        <v>3</v>
      </c>
      <c r="EN79" s="9">
        <v>0</v>
      </c>
      <c r="EO79" s="9">
        <v>0</v>
      </c>
      <c r="EP79" s="9">
        <v>0</v>
      </c>
      <c r="EQ79" s="9">
        <v>0</v>
      </c>
      <c r="ER79" s="9">
        <v>0</v>
      </c>
      <c r="ES79" s="9">
        <v>0</v>
      </c>
      <c r="ET79" s="9">
        <v>6400</v>
      </c>
      <c r="EU79" s="9">
        <v>-6275</v>
      </c>
      <c r="EV79" s="9">
        <v>-46.232696249999996</v>
      </c>
      <c r="EW79" s="9">
        <v>0</v>
      </c>
      <c r="EX79" s="9">
        <v>0</v>
      </c>
      <c r="EY79" s="9">
        <v>0</v>
      </c>
      <c r="EZ79" s="9">
        <v>0</v>
      </c>
      <c r="FA79" s="9">
        <v>0</v>
      </c>
      <c r="FC79" s="15">
        <f t="shared" si="133"/>
        <v>78.767303749999996</v>
      </c>
      <c r="FF79" s="1" t="s">
        <v>3</v>
      </c>
      <c r="FG79" s="9">
        <v>0</v>
      </c>
      <c r="FH79" s="9">
        <v>0</v>
      </c>
      <c r="FI79" s="9">
        <v>0</v>
      </c>
      <c r="FJ79" s="9">
        <v>-78.767303749999996</v>
      </c>
      <c r="FK79" s="9">
        <v>0</v>
      </c>
      <c r="FL79" s="9">
        <v>0</v>
      </c>
      <c r="FM79" s="9">
        <v>6400</v>
      </c>
      <c r="FN79" s="9">
        <v>-6275</v>
      </c>
      <c r="FO79" s="9">
        <v>-46.232696249999996</v>
      </c>
      <c r="FP79" s="9">
        <v>0</v>
      </c>
      <c r="FQ79" s="9">
        <v>0</v>
      </c>
      <c r="FR79" s="9">
        <v>0</v>
      </c>
      <c r="FS79" s="9">
        <v>0</v>
      </c>
      <c r="FT79" s="9">
        <v>0</v>
      </c>
      <c r="FV79" s="13">
        <f t="shared" si="134"/>
        <v>1.2079226507921703E-13</v>
      </c>
    </row>
    <row r="80" spans="1:217" x14ac:dyDescent="0.2">
      <c r="AP80" s="1" t="s">
        <v>4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50</v>
      </c>
      <c r="AW80" s="9">
        <v>0</v>
      </c>
      <c r="AX80" s="9">
        <v>25</v>
      </c>
      <c r="AY80" s="9">
        <v>0</v>
      </c>
      <c r="AZ80" s="9">
        <v>43000</v>
      </c>
      <c r="BA80" s="9">
        <v>0</v>
      </c>
      <c r="BB80" s="9">
        <v>-41000</v>
      </c>
      <c r="BC80" s="9">
        <v>0</v>
      </c>
      <c r="BD80" s="9">
        <v>0</v>
      </c>
      <c r="BF80" s="14">
        <f t="shared" si="131"/>
        <v>2075</v>
      </c>
      <c r="BI80" s="1" t="s">
        <v>4</v>
      </c>
      <c r="BJ80" s="9">
        <v>0</v>
      </c>
      <c r="BK80" s="9">
        <v>0</v>
      </c>
      <c r="BL80" s="9">
        <v>0</v>
      </c>
      <c r="BM80" s="9">
        <v>0</v>
      </c>
      <c r="BN80" s="9">
        <v>0</v>
      </c>
      <c r="BO80" s="9">
        <v>50</v>
      </c>
      <c r="BP80" s="9">
        <v>0</v>
      </c>
      <c r="BQ80" s="9">
        <v>25</v>
      </c>
      <c r="BR80" s="9">
        <v>-2075</v>
      </c>
      <c r="BS80" s="9">
        <v>43000</v>
      </c>
      <c r="BT80" s="9">
        <v>0</v>
      </c>
      <c r="BU80" s="9">
        <v>-41000</v>
      </c>
      <c r="BV80" s="9">
        <v>0</v>
      </c>
      <c r="BW80" s="9">
        <v>0</v>
      </c>
      <c r="BY80" s="13">
        <f t="shared" si="132"/>
        <v>0</v>
      </c>
      <c r="EM80" s="1" t="s">
        <v>4</v>
      </c>
      <c r="EN80" s="9">
        <v>0</v>
      </c>
      <c r="EO80" s="9">
        <v>0</v>
      </c>
      <c r="EP80" s="9">
        <v>0</v>
      </c>
      <c r="EQ80" s="9">
        <v>0</v>
      </c>
      <c r="ER80" s="9">
        <v>0</v>
      </c>
      <c r="ES80" s="9">
        <v>53</v>
      </c>
      <c r="ET80" s="9">
        <v>0</v>
      </c>
      <c r="EU80" s="9">
        <v>25</v>
      </c>
      <c r="EV80" s="9">
        <v>-767.46275774999992</v>
      </c>
      <c r="EW80" s="9">
        <v>44720</v>
      </c>
      <c r="EX80" s="9">
        <v>0</v>
      </c>
      <c r="EY80" s="9">
        <v>-42640</v>
      </c>
      <c r="EZ80" s="9">
        <v>0</v>
      </c>
      <c r="FA80" s="9">
        <v>0</v>
      </c>
      <c r="FC80" s="15">
        <f t="shared" si="133"/>
        <v>1390.5372422500004</v>
      </c>
      <c r="FF80" s="1" t="s">
        <v>4</v>
      </c>
      <c r="FG80" s="9">
        <v>0</v>
      </c>
      <c r="FH80" s="9">
        <v>0</v>
      </c>
      <c r="FI80" s="9">
        <v>0</v>
      </c>
      <c r="FJ80" s="9">
        <v>-1390.5372422500004</v>
      </c>
      <c r="FK80" s="9">
        <v>0</v>
      </c>
      <c r="FL80" s="9">
        <v>53</v>
      </c>
      <c r="FM80" s="9">
        <v>0</v>
      </c>
      <c r="FN80" s="9">
        <v>25</v>
      </c>
      <c r="FO80" s="9">
        <v>-767.46275774999992</v>
      </c>
      <c r="FP80" s="9">
        <v>44720</v>
      </c>
      <c r="FQ80" s="9">
        <v>0</v>
      </c>
      <c r="FR80" s="9">
        <v>-42640</v>
      </c>
      <c r="FS80" s="9">
        <v>0</v>
      </c>
      <c r="FT80" s="9">
        <v>0</v>
      </c>
      <c r="FV80" s="13">
        <f t="shared" si="134"/>
        <v>0</v>
      </c>
    </row>
    <row r="81" spans="42:178" x14ac:dyDescent="0.2">
      <c r="AP81" s="1" t="s">
        <v>5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25</v>
      </c>
      <c r="AW81" s="9">
        <v>0</v>
      </c>
      <c r="AX81" s="9">
        <v>25</v>
      </c>
      <c r="AY81" s="9">
        <v>0</v>
      </c>
      <c r="AZ81" s="9">
        <v>0</v>
      </c>
      <c r="BA81" s="9">
        <v>-41000</v>
      </c>
      <c r="BB81" s="9">
        <v>41000</v>
      </c>
      <c r="BC81" s="9">
        <v>0</v>
      </c>
      <c r="BD81" s="9">
        <v>0</v>
      </c>
      <c r="BF81" s="14">
        <f t="shared" si="131"/>
        <v>50</v>
      </c>
      <c r="BI81" s="1" t="s">
        <v>5</v>
      </c>
      <c r="BJ81" s="9">
        <v>0</v>
      </c>
      <c r="BK81" s="9">
        <v>0</v>
      </c>
      <c r="BL81" s="9">
        <v>0</v>
      </c>
      <c r="BM81" s="9">
        <v>0</v>
      </c>
      <c r="BN81" s="9">
        <v>0</v>
      </c>
      <c r="BO81" s="9">
        <v>25</v>
      </c>
      <c r="BP81" s="9">
        <v>0</v>
      </c>
      <c r="BQ81" s="9">
        <v>25</v>
      </c>
      <c r="BR81" s="9">
        <v>-50</v>
      </c>
      <c r="BS81" s="9">
        <v>0</v>
      </c>
      <c r="BT81" s="9">
        <v>-41000</v>
      </c>
      <c r="BU81" s="9">
        <v>41000</v>
      </c>
      <c r="BV81" s="9">
        <v>0</v>
      </c>
      <c r="BW81" s="9">
        <v>0</v>
      </c>
      <c r="BY81" s="13">
        <f t="shared" si="132"/>
        <v>0</v>
      </c>
      <c r="EM81" s="1" t="s">
        <v>5</v>
      </c>
      <c r="EN81" s="9">
        <v>0</v>
      </c>
      <c r="EO81" s="9">
        <v>0</v>
      </c>
      <c r="EP81" s="9">
        <v>0</v>
      </c>
      <c r="EQ81" s="9">
        <v>0</v>
      </c>
      <c r="ER81" s="9">
        <v>0</v>
      </c>
      <c r="ES81" s="9">
        <v>26.5</v>
      </c>
      <c r="ET81" s="9">
        <v>0</v>
      </c>
      <c r="EU81" s="9">
        <v>25</v>
      </c>
      <c r="EV81" s="9">
        <v>-18.493078499999999</v>
      </c>
      <c r="EW81" s="9">
        <v>0</v>
      </c>
      <c r="EX81" s="9">
        <v>-42640</v>
      </c>
      <c r="EY81" s="9">
        <v>42640</v>
      </c>
      <c r="EZ81" s="9">
        <v>0</v>
      </c>
      <c r="FA81" s="9">
        <v>0</v>
      </c>
      <c r="FC81" s="15">
        <f t="shared" si="133"/>
        <v>33.006921499996679</v>
      </c>
      <c r="FF81" s="1" t="s">
        <v>5</v>
      </c>
      <c r="FG81" s="9">
        <v>0</v>
      </c>
      <c r="FH81" s="9">
        <v>0</v>
      </c>
      <c r="FI81" s="9">
        <v>0</v>
      </c>
      <c r="FJ81" s="9">
        <v>-33.006921499996679</v>
      </c>
      <c r="FK81" s="9">
        <v>0</v>
      </c>
      <c r="FL81" s="9">
        <v>26.5</v>
      </c>
      <c r="FM81" s="9">
        <v>0</v>
      </c>
      <c r="FN81" s="9">
        <v>25</v>
      </c>
      <c r="FO81" s="9">
        <v>-18.493078499999999</v>
      </c>
      <c r="FP81" s="9">
        <v>0</v>
      </c>
      <c r="FQ81" s="9">
        <v>-42640</v>
      </c>
      <c r="FR81" s="9">
        <v>42640</v>
      </c>
      <c r="FS81" s="9">
        <v>0</v>
      </c>
      <c r="FT81" s="9">
        <v>0</v>
      </c>
      <c r="FV81" s="13">
        <f t="shared" si="134"/>
        <v>0</v>
      </c>
    </row>
    <row r="82" spans="42:178" x14ac:dyDescent="0.2">
      <c r="AP82" s="1" t="s">
        <v>6</v>
      </c>
      <c r="AQ82" s="9">
        <v>50000</v>
      </c>
      <c r="AR82" s="9">
        <v>0</v>
      </c>
      <c r="AS82" s="9">
        <v>-47500</v>
      </c>
      <c r="AT82" s="9">
        <v>0</v>
      </c>
      <c r="AU82" s="9">
        <v>0</v>
      </c>
      <c r="AV82" s="9">
        <v>50</v>
      </c>
      <c r="AW82" s="9">
        <v>0</v>
      </c>
      <c r="AX82" s="9">
        <v>25</v>
      </c>
      <c r="AY82" s="9">
        <v>0</v>
      </c>
      <c r="AZ82" s="9">
        <v>0</v>
      </c>
      <c r="BA82" s="9">
        <v>0</v>
      </c>
      <c r="BB82" s="9">
        <v>0</v>
      </c>
      <c r="BC82" s="9">
        <v>0</v>
      </c>
      <c r="BD82" s="9">
        <v>0</v>
      </c>
      <c r="BF82" s="14">
        <f t="shared" si="131"/>
        <v>2575</v>
      </c>
      <c r="BI82" s="1" t="s">
        <v>6</v>
      </c>
      <c r="BJ82" s="9">
        <v>50000</v>
      </c>
      <c r="BK82" s="9">
        <v>0</v>
      </c>
      <c r="BL82" s="9">
        <v>-47500</v>
      </c>
      <c r="BM82" s="9">
        <v>0</v>
      </c>
      <c r="BN82" s="9">
        <v>0</v>
      </c>
      <c r="BO82" s="9">
        <v>50</v>
      </c>
      <c r="BP82" s="9">
        <v>0</v>
      </c>
      <c r="BQ82" s="9">
        <v>25</v>
      </c>
      <c r="BR82" s="9">
        <v>-2575</v>
      </c>
      <c r="BS82" s="9">
        <v>0</v>
      </c>
      <c r="BT82" s="9">
        <v>0</v>
      </c>
      <c r="BU82" s="9">
        <v>0</v>
      </c>
      <c r="BV82" s="9">
        <v>0</v>
      </c>
      <c r="BW82" s="9">
        <v>0</v>
      </c>
      <c r="BY82" s="13">
        <f t="shared" si="132"/>
        <v>0</v>
      </c>
      <c r="EM82" s="1" t="s">
        <v>6</v>
      </c>
      <c r="EN82" s="9">
        <v>53000</v>
      </c>
      <c r="EO82" s="9">
        <v>0</v>
      </c>
      <c r="EP82" s="9">
        <v>-50350</v>
      </c>
      <c r="EQ82" s="9">
        <v>0</v>
      </c>
      <c r="ER82" s="9">
        <v>0</v>
      </c>
      <c r="ES82" s="9">
        <v>53</v>
      </c>
      <c r="ET82" s="9">
        <v>0</v>
      </c>
      <c r="EU82" s="9">
        <v>25</v>
      </c>
      <c r="EV82" s="9">
        <v>-952.39354274999994</v>
      </c>
      <c r="EW82" s="9">
        <v>0</v>
      </c>
      <c r="EX82" s="9">
        <v>0</v>
      </c>
      <c r="EY82" s="9">
        <v>0</v>
      </c>
      <c r="EZ82" s="9">
        <v>0</v>
      </c>
      <c r="FA82" s="9">
        <v>0</v>
      </c>
      <c r="FC82" s="15">
        <f t="shared" si="133"/>
        <v>1775.6064572499999</v>
      </c>
      <c r="FF82" s="1" t="s">
        <v>6</v>
      </c>
      <c r="FG82" s="9">
        <v>53000</v>
      </c>
      <c r="FH82" s="9">
        <v>0</v>
      </c>
      <c r="FI82" s="9">
        <v>-50350</v>
      </c>
      <c r="FJ82" s="9">
        <v>-1775.6064572499999</v>
      </c>
      <c r="FK82" s="9">
        <v>0</v>
      </c>
      <c r="FL82" s="9">
        <v>53</v>
      </c>
      <c r="FM82" s="9">
        <v>0</v>
      </c>
      <c r="FN82" s="9">
        <v>25</v>
      </c>
      <c r="FO82" s="9">
        <v>-952.39354274999994</v>
      </c>
      <c r="FP82" s="9">
        <v>0</v>
      </c>
      <c r="FQ82" s="9">
        <v>0</v>
      </c>
      <c r="FR82" s="9">
        <v>0</v>
      </c>
      <c r="FS82" s="9">
        <v>0</v>
      </c>
      <c r="FT82" s="9">
        <v>0</v>
      </c>
      <c r="FV82" s="13">
        <f t="shared" si="134"/>
        <v>1.1368683772161603E-13</v>
      </c>
    </row>
    <row r="83" spans="42:178" x14ac:dyDescent="0.2">
      <c r="AP83" s="1" t="s">
        <v>7</v>
      </c>
      <c r="AQ83" s="9">
        <v>0</v>
      </c>
      <c r="AR83" s="9">
        <v>47000</v>
      </c>
      <c r="AS83" s="9">
        <v>0</v>
      </c>
      <c r="AT83" s="9">
        <v>0</v>
      </c>
      <c r="AU83" s="9">
        <v>-15500</v>
      </c>
      <c r="AV83" s="9">
        <v>0</v>
      </c>
      <c r="AW83" s="9">
        <v>0</v>
      </c>
      <c r="AX83" s="9">
        <v>75</v>
      </c>
      <c r="AY83" s="9">
        <v>0</v>
      </c>
      <c r="AZ83" s="9">
        <v>0</v>
      </c>
      <c r="BA83" s="9">
        <v>0</v>
      </c>
      <c r="BB83" s="9">
        <v>0</v>
      </c>
      <c r="BC83" s="9">
        <v>-26500</v>
      </c>
      <c r="BD83" s="9">
        <v>0</v>
      </c>
      <c r="BF83" s="14">
        <f t="shared" si="131"/>
        <v>5075</v>
      </c>
      <c r="BI83" s="1" t="s">
        <v>7</v>
      </c>
      <c r="BJ83" s="9">
        <v>0</v>
      </c>
      <c r="BK83" s="9">
        <v>47000</v>
      </c>
      <c r="BL83" s="9">
        <v>0</v>
      </c>
      <c r="BM83" s="9">
        <v>0</v>
      </c>
      <c r="BN83" s="9">
        <v>-15500</v>
      </c>
      <c r="BO83" s="9">
        <v>0</v>
      </c>
      <c r="BP83" s="9">
        <v>0</v>
      </c>
      <c r="BQ83" s="9">
        <v>75</v>
      </c>
      <c r="BR83" s="9">
        <v>-5075</v>
      </c>
      <c r="BS83" s="9">
        <v>0</v>
      </c>
      <c r="BT83" s="9">
        <v>0</v>
      </c>
      <c r="BU83" s="9">
        <v>0</v>
      </c>
      <c r="BV83" s="9">
        <v>-26500</v>
      </c>
      <c r="BW83" s="9">
        <v>0</v>
      </c>
      <c r="BY83" s="13">
        <f t="shared" si="132"/>
        <v>0</v>
      </c>
      <c r="EM83" s="1" t="s">
        <v>7</v>
      </c>
      <c r="EN83" s="9">
        <v>0</v>
      </c>
      <c r="EO83" s="9">
        <v>49820</v>
      </c>
      <c r="EP83" s="9">
        <v>0</v>
      </c>
      <c r="EQ83" s="9">
        <v>0</v>
      </c>
      <c r="ER83" s="9">
        <v>-16430</v>
      </c>
      <c r="ES83" s="9">
        <v>0</v>
      </c>
      <c r="ET83" s="9">
        <v>0</v>
      </c>
      <c r="EU83" s="9">
        <v>75</v>
      </c>
      <c r="EV83" s="9">
        <v>-1877.0474677499999</v>
      </c>
      <c r="EW83" s="9">
        <v>0</v>
      </c>
      <c r="EX83" s="9">
        <v>0</v>
      </c>
      <c r="EY83" s="9">
        <v>0</v>
      </c>
      <c r="EZ83" s="9">
        <v>-28090</v>
      </c>
      <c r="FA83" s="9">
        <v>0</v>
      </c>
      <c r="FC83" s="15">
        <f t="shared" si="133"/>
        <v>3497.9525322500012</v>
      </c>
      <c r="FF83" s="1" t="s">
        <v>7</v>
      </c>
      <c r="FG83" s="9">
        <v>0</v>
      </c>
      <c r="FH83" s="9">
        <v>49820</v>
      </c>
      <c r="FI83" s="9">
        <v>0</v>
      </c>
      <c r="FJ83" s="9">
        <v>-3497.9525322500012</v>
      </c>
      <c r="FK83" s="9">
        <v>-16430</v>
      </c>
      <c r="FL83" s="9">
        <v>0</v>
      </c>
      <c r="FM83" s="9">
        <v>0</v>
      </c>
      <c r="FN83" s="9">
        <v>75</v>
      </c>
      <c r="FO83" s="9">
        <v>-1877.0474677499999</v>
      </c>
      <c r="FP83" s="9">
        <v>0</v>
      </c>
      <c r="FQ83" s="9">
        <v>0</v>
      </c>
      <c r="FR83" s="9">
        <v>0</v>
      </c>
      <c r="FS83" s="9">
        <v>-28090</v>
      </c>
      <c r="FT83" s="9">
        <v>0</v>
      </c>
      <c r="FV83" s="13">
        <f t="shared" si="134"/>
        <v>3.637978807091713E-12</v>
      </c>
    </row>
    <row r="84" spans="42:178" x14ac:dyDescent="0.2">
      <c r="AP84" s="1" t="s">
        <v>8</v>
      </c>
      <c r="AQ84" s="9">
        <v>0</v>
      </c>
      <c r="AR84" s="9">
        <v>0</v>
      </c>
      <c r="AS84" s="9">
        <v>0</v>
      </c>
      <c r="AT84" s="9">
        <v>0</v>
      </c>
      <c r="AU84" s="9">
        <v>0</v>
      </c>
      <c r="AV84" s="9">
        <v>250</v>
      </c>
      <c r="AW84" s="9">
        <v>0</v>
      </c>
      <c r="AX84" s="9">
        <v>0</v>
      </c>
      <c r="AY84" s="9">
        <v>0</v>
      </c>
      <c r="AZ84" s="9">
        <v>0</v>
      </c>
      <c r="BA84" s="9">
        <v>0</v>
      </c>
      <c r="BB84" s="9">
        <v>0</v>
      </c>
      <c r="BC84" s="9">
        <v>26500</v>
      </c>
      <c r="BD84" s="9">
        <v>-26000</v>
      </c>
      <c r="BF84" s="14">
        <f t="shared" si="131"/>
        <v>750</v>
      </c>
      <c r="BI84" s="1" t="s">
        <v>8</v>
      </c>
      <c r="BJ84" s="9">
        <v>0</v>
      </c>
      <c r="BK84" s="9">
        <v>0</v>
      </c>
      <c r="BL84" s="9">
        <v>0</v>
      </c>
      <c r="BM84" s="9">
        <v>0</v>
      </c>
      <c r="BN84" s="9">
        <v>0</v>
      </c>
      <c r="BO84" s="9">
        <v>250</v>
      </c>
      <c r="BP84" s="9">
        <v>0</v>
      </c>
      <c r="BQ84" s="9">
        <v>0</v>
      </c>
      <c r="BR84" s="9">
        <v>-750</v>
      </c>
      <c r="BS84" s="9">
        <v>0</v>
      </c>
      <c r="BT84" s="9">
        <v>0</v>
      </c>
      <c r="BU84" s="9">
        <v>0</v>
      </c>
      <c r="BV84" s="9">
        <v>26500</v>
      </c>
      <c r="BW84" s="9">
        <v>-26000</v>
      </c>
      <c r="BY84" s="13">
        <f t="shared" si="132"/>
        <v>0</v>
      </c>
      <c r="EM84" s="1" t="s">
        <v>8</v>
      </c>
      <c r="EN84" s="9">
        <v>0</v>
      </c>
      <c r="EO84" s="9">
        <v>0</v>
      </c>
      <c r="EP84" s="9">
        <v>0</v>
      </c>
      <c r="EQ84" s="9">
        <v>0</v>
      </c>
      <c r="ER84" s="9">
        <v>0</v>
      </c>
      <c r="ES84" s="9">
        <v>265</v>
      </c>
      <c r="ET84" s="9">
        <v>0</v>
      </c>
      <c r="EU84" s="9">
        <v>0</v>
      </c>
      <c r="EV84" s="9">
        <v>-277.39617749999996</v>
      </c>
      <c r="EW84" s="9">
        <v>0</v>
      </c>
      <c r="EX84" s="9">
        <v>0</v>
      </c>
      <c r="EY84" s="9">
        <v>0</v>
      </c>
      <c r="EZ84" s="9">
        <v>28090</v>
      </c>
      <c r="FA84" s="9">
        <v>-27560</v>
      </c>
      <c r="FC84" s="15">
        <f t="shared" si="133"/>
        <v>517.60382250000112</v>
      </c>
      <c r="FF84" s="1" t="s">
        <v>8</v>
      </c>
      <c r="FG84" s="9">
        <v>0</v>
      </c>
      <c r="FH84" s="9">
        <v>0</v>
      </c>
      <c r="FI84" s="9">
        <v>0</v>
      </c>
      <c r="FJ84" s="9">
        <v>-517.60382250000112</v>
      </c>
      <c r="FK84" s="9">
        <v>0</v>
      </c>
      <c r="FL84" s="9">
        <v>265</v>
      </c>
      <c r="FM84" s="9">
        <v>0</v>
      </c>
      <c r="FN84" s="9">
        <v>0</v>
      </c>
      <c r="FO84" s="9">
        <v>-277.39617749999996</v>
      </c>
      <c r="FP84" s="9">
        <v>0</v>
      </c>
      <c r="FQ84" s="9">
        <v>0</v>
      </c>
      <c r="FR84" s="9">
        <v>0</v>
      </c>
      <c r="FS84" s="9">
        <v>28090</v>
      </c>
      <c r="FT84" s="9">
        <v>-27560</v>
      </c>
      <c r="FV84" s="13">
        <f t="shared" si="134"/>
        <v>0</v>
      </c>
    </row>
    <row r="85" spans="42:178" x14ac:dyDescent="0.2">
      <c r="AP85" s="1" t="s">
        <v>9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-6400</v>
      </c>
      <c r="AX85" s="9">
        <v>100</v>
      </c>
      <c r="AY85" s="9">
        <v>0</v>
      </c>
      <c r="AZ85" s="9">
        <v>0</v>
      </c>
      <c r="BA85" s="9">
        <v>16000</v>
      </c>
      <c r="BB85" s="9">
        <v>0</v>
      </c>
      <c r="BC85" s="9">
        <v>0</v>
      </c>
      <c r="BD85" s="9">
        <v>0</v>
      </c>
      <c r="BF85" s="14">
        <f t="shared" si="131"/>
        <v>9700</v>
      </c>
      <c r="BI85" s="1" t="s">
        <v>9</v>
      </c>
      <c r="BJ85" s="9">
        <v>0</v>
      </c>
      <c r="BK85" s="9">
        <v>0</v>
      </c>
      <c r="BL85" s="9">
        <v>0</v>
      </c>
      <c r="BM85" s="9">
        <v>0</v>
      </c>
      <c r="BN85" s="9">
        <v>0</v>
      </c>
      <c r="BO85" s="9">
        <v>0</v>
      </c>
      <c r="BP85" s="9">
        <v>-6400</v>
      </c>
      <c r="BQ85" s="9">
        <v>100</v>
      </c>
      <c r="BR85" s="9">
        <v>-9700</v>
      </c>
      <c r="BS85" s="9">
        <v>0</v>
      </c>
      <c r="BT85" s="9">
        <v>16000</v>
      </c>
      <c r="BU85" s="9">
        <v>0</v>
      </c>
      <c r="BV85" s="9">
        <v>0</v>
      </c>
      <c r="BW85" s="9">
        <v>0</v>
      </c>
      <c r="BY85" s="13">
        <f t="shared" si="132"/>
        <v>0</v>
      </c>
      <c r="EM85" s="1" t="s">
        <v>9</v>
      </c>
      <c r="EN85" s="9">
        <v>0</v>
      </c>
      <c r="EO85" s="9">
        <v>0</v>
      </c>
      <c r="EP85" s="9">
        <v>0</v>
      </c>
      <c r="EQ85" s="9">
        <v>0</v>
      </c>
      <c r="ER85" s="9">
        <v>0</v>
      </c>
      <c r="ES85" s="9">
        <v>0</v>
      </c>
      <c r="ET85" s="9">
        <v>-6400</v>
      </c>
      <c r="EU85" s="9">
        <v>100</v>
      </c>
      <c r="EV85" s="9">
        <v>-3587.6572289999999</v>
      </c>
      <c r="EW85" s="9">
        <v>0</v>
      </c>
      <c r="EX85" s="9">
        <v>16640</v>
      </c>
      <c r="EY85" s="9">
        <v>0</v>
      </c>
      <c r="EZ85" s="9">
        <v>0</v>
      </c>
      <c r="FA85" s="9">
        <v>0</v>
      </c>
      <c r="FC85" s="15">
        <f t="shared" si="133"/>
        <v>6752.3427709999996</v>
      </c>
      <c r="FF85" s="1" t="s">
        <v>9</v>
      </c>
      <c r="FG85" s="9">
        <v>0</v>
      </c>
      <c r="FH85" s="9">
        <v>0</v>
      </c>
      <c r="FI85" s="9">
        <v>0</v>
      </c>
      <c r="FJ85" s="9">
        <v>-6752.3427709999996</v>
      </c>
      <c r="FK85" s="9">
        <v>0</v>
      </c>
      <c r="FL85" s="9">
        <v>0</v>
      </c>
      <c r="FM85" s="9">
        <v>-6400</v>
      </c>
      <c r="FN85" s="9">
        <v>100</v>
      </c>
      <c r="FO85" s="9">
        <v>-3587.6572289999999</v>
      </c>
      <c r="FP85" s="9">
        <v>0</v>
      </c>
      <c r="FQ85" s="9">
        <v>16640</v>
      </c>
      <c r="FR85" s="9">
        <v>0</v>
      </c>
      <c r="FS85" s="9">
        <v>0</v>
      </c>
      <c r="FT85" s="9">
        <v>0</v>
      </c>
      <c r="FV85" s="13">
        <f t="shared" si="134"/>
        <v>0</v>
      </c>
    </row>
    <row r="86" spans="42:178" ht="17" x14ac:dyDescent="0.2">
      <c r="AQ86" s="17" t="s">
        <v>38</v>
      </c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F86" s="4" t="s">
        <v>39</v>
      </c>
      <c r="BJ86" s="17" t="s">
        <v>38</v>
      </c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Y86" s="4" t="s">
        <v>39</v>
      </c>
      <c r="EN86" s="17" t="s">
        <v>38</v>
      </c>
      <c r="EO86" s="17"/>
      <c r="EP86" s="17"/>
      <c r="EQ86" s="17"/>
      <c r="ER86" s="17"/>
      <c r="ES86" s="17"/>
      <c r="ET86" s="17"/>
      <c r="EU86" s="17"/>
      <c r="EV86" s="17"/>
      <c r="EW86" s="17"/>
      <c r="EX86" s="17"/>
      <c r="EY86" s="17"/>
      <c r="EZ86" s="17"/>
      <c r="FA86" s="17"/>
      <c r="FC86" s="4" t="s">
        <v>39</v>
      </c>
      <c r="FG86" s="17" t="s">
        <v>38</v>
      </c>
      <c r="FH86" s="17"/>
      <c r="FI86" s="17"/>
      <c r="FJ86" s="17"/>
      <c r="FK86" s="17"/>
      <c r="FL86" s="17"/>
      <c r="FM86" s="17"/>
      <c r="FN86" s="17"/>
      <c r="FO86" s="17"/>
      <c r="FP86" s="17"/>
      <c r="FQ86" s="17"/>
      <c r="FR86" s="17"/>
      <c r="FS86" s="17"/>
      <c r="FT86" s="17"/>
      <c r="FV86" s="4" t="s">
        <v>39</v>
      </c>
    </row>
    <row r="87" spans="42:178" x14ac:dyDescent="0.2">
      <c r="AQ87" s="20" t="s">
        <v>68</v>
      </c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F87" s="8" t="s">
        <v>36</v>
      </c>
      <c r="BJ87" s="20" t="s">
        <v>59</v>
      </c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Y87" s="8" t="s">
        <v>40</v>
      </c>
      <c r="EN87" s="20" t="s">
        <v>69</v>
      </c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C87" s="8" t="s">
        <v>34</v>
      </c>
      <c r="FG87" s="20" t="s">
        <v>60</v>
      </c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  <c r="FT87" s="20"/>
      <c r="FV87" s="8"/>
    </row>
  </sheetData>
  <mergeCells count="74">
    <mergeCell ref="GU1:IG1"/>
    <mergeCell ref="HM53:HU53"/>
    <mergeCell ref="HM54:HU54"/>
    <mergeCell ref="HY53:IB53"/>
    <mergeCell ref="HM17:HU17"/>
    <mergeCell ref="HM35:HU35"/>
    <mergeCell ref="HY17:IG17"/>
    <mergeCell ref="FG66:FT66"/>
    <mergeCell ref="FG67:FT67"/>
    <mergeCell ref="FX53:GF53"/>
    <mergeCell ref="FX54:GF54"/>
    <mergeCell ref="GV72:HI72"/>
    <mergeCell ref="GV66:HI66"/>
    <mergeCell ref="EM1:FC1"/>
    <mergeCell ref="EN86:FA86"/>
    <mergeCell ref="EN87:FA87"/>
    <mergeCell ref="FG72:FT72"/>
    <mergeCell ref="GJ53:GM53"/>
    <mergeCell ref="GJ54:GM54"/>
    <mergeCell ref="FG86:FT86"/>
    <mergeCell ref="FG87:FT87"/>
    <mergeCell ref="FX17:GF17"/>
    <mergeCell ref="GJ17:GR17"/>
    <mergeCell ref="GJ18:GR18"/>
    <mergeCell ref="FX18:GF18"/>
    <mergeCell ref="FX36:GF36"/>
    <mergeCell ref="FX35:GF35"/>
    <mergeCell ref="FF1:GR1"/>
    <mergeCell ref="FG73:FT73"/>
    <mergeCell ref="EB54:ED54"/>
    <mergeCell ref="DP36:DX36"/>
    <mergeCell ref="EB18:EJ18"/>
    <mergeCell ref="CY72:DL72"/>
    <mergeCell ref="CY73:DL73"/>
    <mergeCell ref="CY66:DL66"/>
    <mergeCell ref="CY67:DL67"/>
    <mergeCell ref="DP53:DX53"/>
    <mergeCell ref="DP54:DX54"/>
    <mergeCell ref="B72:O72"/>
    <mergeCell ref="S17:AA17"/>
    <mergeCell ref="AE17:AM17"/>
    <mergeCell ref="CM53:CO53"/>
    <mergeCell ref="CM54:CO54"/>
    <mergeCell ref="CM17:CU17"/>
    <mergeCell ref="CM18:CU18"/>
    <mergeCell ref="AQ86:BD86"/>
    <mergeCell ref="AQ87:BD87"/>
    <mergeCell ref="AP1:BF1"/>
    <mergeCell ref="CY53:DL53"/>
    <mergeCell ref="BJ66:BW66"/>
    <mergeCell ref="BJ67:BW67"/>
    <mergeCell ref="BJ86:BW86"/>
    <mergeCell ref="BJ87:BW87"/>
    <mergeCell ref="BJ72:BW72"/>
    <mergeCell ref="BJ73:BW73"/>
    <mergeCell ref="CA53:CI53"/>
    <mergeCell ref="CA54:CI54"/>
    <mergeCell ref="CY54:DL54"/>
    <mergeCell ref="B66:O66"/>
    <mergeCell ref="CA17:CI17"/>
    <mergeCell ref="CA18:CI18"/>
    <mergeCell ref="CA35:CI35"/>
    <mergeCell ref="CA36:CI36"/>
    <mergeCell ref="CX1:EJ1"/>
    <mergeCell ref="BI1:CU1"/>
    <mergeCell ref="S35:AA35"/>
    <mergeCell ref="S53:AA53"/>
    <mergeCell ref="AE53:AF53"/>
    <mergeCell ref="A1:AM1"/>
    <mergeCell ref="EB53:ED53"/>
    <mergeCell ref="DP17:DX17"/>
    <mergeCell ref="DP18:DX18"/>
    <mergeCell ref="DP35:DX35"/>
    <mergeCell ref="EB17:EJ17"/>
  </mergeCells>
  <printOptions gridLines="1"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24</vt:i4>
      </vt:variant>
    </vt:vector>
  </HeadingPairs>
  <TitlesOfParts>
    <vt:vector size="27" baseType="lpstr">
      <vt:lpstr>E_Final_2000</vt:lpstr>
      <vt:lpstr>X_Final_2000</vt:lpstr>
      <vt:lpstr>Checks</vt:lpstr>
      <vt:lpstr>Checks!R_</vt:lpstr>
      <vt:lpstr>E_Final_2000!R_</vt:lpstr>
      <vt:lpstr>X_Final_2000!R_</vt:lpstr>
      <vt:lpstr>Checks!r_EIOU</vt:lpstr>
      <vt:lpstr>E_Final_2000!r_EIOU</vt:lpstr>
      <vt:lpstr>X_Final_2000!r_EIOU</vt:lpstr>
      <vt:lpstr>Checks!S_units</vt:lpstr>
      <vt:lpstr>E_Final_2000!S_units</vt:lpstr>
      <vt:lpstr>X_Final_2000!S_units</vt:lpstr>
      <vt:lpstr>Checks!U</vt:lpstr>
      <vt:lpstr>E_Final_2000!U</vt:lpstr>
      <vt:lpstr>X_Final_2000!U</vt:lpstr>
      <vt:lpstr>Checks!U_EIOU</vt:lpstr>
      <vt:lpstr>E_Final_2000!U_EIOU</vt:lpstr>
      <vt:lpstr>X_Final_2000!U_EIOU</vt:lpstr>
      <vt:lpstr>Checks!U_feed</vt:lpstr>
      <vt:lpstr>E_Final_2000!U_feed</vt:lpstr>
      <vt:lpstr>X_Final_2000!U_feed</vt:lpstr>
      <vt:lpstr>Checks!V</vt:lpstr>
      <vt:lpstr>E_Final_2000!V</vt:lpstr>
      <vt:lpstr>X_Final_2000!V</vt:lpstr>
      <vt:lpstr>Checks!Y</vt:lpstr>
      <vt:lpstr>E_Final_2000!Y</vt:lpstr>
      <vt:lpstr>X_Final_2000!Y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mkh2</dc:creator>
  <cp:lastModifiedBy>Matthew Heun</cp:lastModifiedBy>
  <dcterms:created xsi:type="dcterms:W3CDTF">2026-01-15T13:03:32Z</dcterms:created>
  <dcterms:modified xsi:type="dcterms:W3CDTF">2026-01-15T16:02:13Z</dcterms:modified>
</cp:coreProperties>
</file>